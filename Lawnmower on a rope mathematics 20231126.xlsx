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https://d.docs.live.net/324c1e38712a118f/Excel JB 2020.delete/"/>
    </mc:Choice>
  </mc:AlternateContent>
  <xr:revisionPtr revIDLastSave="4" documentId="8_{6AE238FA-814C-47FF-B3D7-4A16C7B55E13}" xr6:coauthVersionLast="47" xr6:coauthVersionMax="47" xr10:uidLastSave="{279CF4DA-372A-4025-B13F-50184AC6430C}"/>
  <bookViews>
    <workbookView xWindow="-109" yWindow="-109" windowWidth="26301" windowHeight="14169" xr2:uid="{8BDAA58A-CE83-44CC-A52C-A08419968683}"/>
  </bookViews>
  <sheets>
    <sheet name="calc" sheetId="1" r:id="rId1"/>
    <sheet name="Text" sheetId="2" r:id="rId2"/>
  </sheets>
  <definedNames>
    <definedName name="D">calc!$D$4</definedName>
    <definedName name="L">calc!$D$3</definedName>
    <definedName name="S">calc!$D$5</definedName>
    <definedName name="W">calc!$D$6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6" i="1" l="1"/>
  <c r="F5" i="1"/>
  <c r="F4" i="1"/>
  <c r="F3" i="1"/>
  <c r="A26" i="2"/>
  <c r="A28" i="2"/>
  <c r="A30" i="2"/>
  <c r="A32" i="2"/>
  <c r="A34" i="2"/>
  <c r="B34" i="2"/>
  <c r="J6" i="1"/>
  <c r="K6" i="1" s="1"/>
  <c r="L6" i="1" s="1"/>
  <c r="D6" i="1"/>
  <c r="D10" i="1"/>
  <c r="D11" i="1" s="1"/>
  <c r="C11" i="1"/>
  <c r="C12" i="1" s="1"/>
  <c r="C13" i="1" s="1"/>
  <c r="C14" i="1" s="1"/>
  <c r="C15" i="1" s="1"/>
  <c r="C16" i="1" s="1"/>
  <c r="C17" i="1" s="1"/>
  <c r="C18" i="1" s="1"/>
  <c r="C19" i="1" s="1"/>
  <c r="C20" i="1" s="1"/>
  <c r="C21" i="1" s="1"/>
  <c r="C22" i="1" s="1"/>
  <c r="C23" i="1" s="1"/>
  <c r="C24" i="1" s="1"/>
  <c r="C25" i="1" s="1"/>
  <c r="C26" i="1" s="1"/>
  <c r="C27" i="1" s="1"/>
  <c r="C28" i="1" s="1"/>
  <c r="C29" i="1" s="1"/>
  <c r="C30" i="1" s="1"/>
  <c r="C31" i="1" s="1"/>
  <c r="C32" i="1" s="1"/>
  <c r="C33" i="1" s="1"/>
  <c r="C34" i="1" s="1"/>
  <c r="C35" i="1" s="1"/>
  <c r="C36" i="1" s="1"/>
  <c r="C37" i="1" s="1"/>
  <c r="C38" i="1" s="1"/>
  <c r="C39" i="1" s="1"/>
  <c r="C40" i="1" s="1"/>
  <c r="C41" i="1" s="1"/>
  <c r="C42" i="1" s="1"/>
  <c r="C43" i="1" s="1"/>
  <c r="C44" i="1" s="1"/>
  <c r="C45" i="1" s="1"/>
  <c r="C46" i="1" s="1"/>
  <c r="C47" i="1" s="1"/>
  <c r="C48" i="1" s="1"/>
  <c r="C49" i="1" s="1"/>
  <c r="C50" i="1" s="1"/>
  <c r="C51" i="1" s="1"/>
  <c r="C52" i="1" s="1"/>
  <c r="C53" i="1" s="1"/>
  <c r="C54" i="1" s="1"/>
  <c r="C55" i="1" s="1"/>
  <c r="C56" i="1" s="1"/>
  <c r="C57" i="1" s="1"/>
  <c r="C58" i="1" s="1"/>
  <c r="C59" i="1" s="1"/>
  <c r="C60" i="1" s="1"/>
  <c r="C61" i="1" s="1"/>
  <c r="C62" i="1" s="1"/>
  <c r="C63" i="1" s="1"/>
  <c r="C64" i="1" s="1"/>
  <c r="C65" i="1" s="1"/>
  <c r="C66" i="1" s="1"/>
  <c r="C67" i="1" s="1"/>
  <c r="C68" i="1" s="1"/>
  <c r="C69" i="1" s="1"/>
  <c r="C70" i="1" s="1"/>
  <c r="C71" i="1" s="1"/>
  <c r="C72" i="1" s="1"/>
  <c r="C73" i="1" s="1"/>
  <c r="C74" i="1" s="1"/>
  <c r="C75" i="1" s="1"/>
  <c r="C76" i="1" s="1"/>
  <c r="C77" i="1" s="1"/>
  <c r="C78" i="1" s="1"/>
  <c r="C79" i="1" s="1"/>
  <c r="C80" i="1" s="1"/>
  <c r="C81" i="1" s="1"/>
  <c r="C82" i="1" s="1"/>
  <c r="C83" i="1" s="1"/>
  <c r="C84" i="1" s="1"/>
  <c r="C85" i="1" s="1"/>
  <c r="C86" i="1" s="1"/>
  <c r="C87" i="1" s="1"/>
  <c r="C88" i="1" s="1"/>
  <c r="C89" i="1" s="1"/>
  <c r="C90" i="1" s="1"/>
  <c r="C91" i="1" s="1"/>
  <c r="C92" i="1" s="1"/>
  <c r="C93" i="1" s="1"/>
  <c r="C94" i="1" s="1"/>
  <c r="C95" i="1" s="1"/>
  <c r="C96" i="1" s="1"/>
  <c r="C97" i="1" s="1"/>
  <c r="C98" i="1" s="1"/>
  <c r="C99" i="1" s="1"/>
  <c r="C100" i="1" s="1"/>
  <c r="C101" i="1" s="1"/>
  <c r="C102" i="1" s="1"/>
  <c r="C103" i="1" s="1"/>
  <c r="C104" i="1" s="1"/>
  <c r="C105" i="1" s="1"/>
  <c r="C106" i="1" s="1"/>
  <c r="C107" i="1" s="1"/>
  <c r="C108" i="1" s="1"/>
  <c r="C109" i="1" s="1"/>
  <c r="C110" i="1" s="1"/>
  <c r="C111" i="1" s="1"/>
  <c r="C112" i="1" s="1"/>
  <c r="C113" i="1" s="1"/>
  <c r="C114" i="1" s="1"/>
  <c r="C115" i="1" s="1"/>
  <c r="C116" i="1" s="1"/>
  <c r="C117" i="1" s="1"/>
  <c r="C118" i="1" s="1"/>
  <c r="C119" i="1" s="1"/>
  <c r="C120" i="1" s="1"/>
  <c r="C121" i="1" s="1"/>
  <c r="C122" i="1" s="1"/>
  <c r="C123" i="1" s="1"/>
  <c r="C124" i="1" s="1"/>
  <c r="C125" i="1" s="1"/>
  <c r="C126" i="1" s="1"/>
  <c r="C127" i="1" s="1"/>
  <c r="C128" i="1" s="1"/>
  <c r="C129" i="1" s="1"/>
  <c r="C130" i="1" s="1"/>
  <c r="C131" i="1" s="1"/>
  <c r="C132" i="1" s="1"/>
  <c r="C133" i="1" s="1"/>
  <c r="C134" i="1" s="1"/>
  <c r="C135" i="1" s="1"/>
  <c r="C136" i="1" s="1"/>
  <c r="C137" i="1" s="1"/>
  <c r="C138" i="1" s="1"/>
  <c r="C139" i="1" s="1"/>
  <c r="C140" i="1" s="1"/>
  <c r="C141" i="1" s="1"/>
  <c r="C142" i="1" s="1"/>
  <c r="C143" i="1" s="1"/>
  <c r="C144" i="1" s="1"/>
  <c r="C145" i="1" s="1"/>
  <c r="C146" i="1" s="1"/>
  <c r="C147" i="1" s="1"/>
  <c r="C148" i="1" s="1"/>
  <c r="C149" i="1" s="1"/>
  <c r="C150" i="1" s="1"/>
  <c r="C151" i="1" s="1"/>
  <c r="C152" i="1" s="1"/>
  <c r="C153" i="1" s="1"/>
  <c r="C154" i="1" s="1"/>
  <c r="C155" i="1" s="1"/>
  <c r="C156" i="1" s="1"/>
  <c r="C157" i="1" s="1"/>
  <c r="C158" i="1" s="1"/>
  <c r="C159" i="1" s="1"/>
  <c r="C160" i="1" s="1"/>
  <c r="C161" i="1" s="1"/>
  <c r="C162" i="1" s="1"/>
  <c r="C163" i="1" s="1"/>
  <c r="C164" i="1" s="1"/>
  <c r="C165" i="1" s="1"/>
  <c r="C166" i="1" s="1"/>
  <c r="C167" i="1" s="1"/>
  <c r="C168" i="1" s="1"/>
  <c r="C169" i="1" s="1"/>
  <c r="C170" i="1" s="1"/>
  <c r="C171" i="1" s="1"/>
  <c r="C172" i="1" s="1"/>
  <c r="C173" i="1" s="1"/>
  <c r="C174" i="1" s="1"/>
  <c r="C175" i="1" s="1"/>
  <c r="C176" i="1" s="1"/>
  <c r="C177" i="1" s="1"/>
  <c r="C178" i="1" s="1"/>
  <c r="C179" i="1" s="1"/>
  <c r="C180" i="1" s="1"/>
  <c r="C181" i="1" s="1"/>
  <c r="C182" i="1" s="1"/>
  <c r="C183" i="1" s="1"/>
  <c r="C184" i="1" s="1"/>
  <c r="C185" i="1" s="1"/>
  <c r="C186" i="1" s="1"/>
  <c r="C187" i="1" s="1"/>
  <c r="C188" i="1" s="1"/>
  <c r="C189" i="1" s="1"/>
  <c r="C190" i="1" s="1"/>
  <c r="C191" i="1" s="1"/>
  <c r="C192" i="1" s="1"/>
  <c r="C193" i="1" s="1"/>
  <c r="C194" i="1" s="1"/>
  <c r="C195" i="1" s="1"/>
  <c r="C196" i="1" s="1"/>
  <c r="C197" i="1" s="1"/>
  <c r="C198" i="1" s="1"/>
  <c r="C199" i="1" s="1"/>
  <c r="C200" i="1" s="1"/>
  <c r="C201" i="1" s="1"/>
  <c r="C202" i="1" s="1"/>
  <c r="C203" i="1" s="1"/>
  <c r="C204" i="1" s="1"/>
  <c r="C205" i="1" s="1"/>
  <c r="C206" i="1" s="1"/>
  <c r="C207" i="1" s="1"/>
  <c r="C208" i="1" s="1"/>
  <c r="C209" i="1" s="1"/>
  <c r="C210" i="1" s="1"/>
  <c r="C211" i="1" s="1"/>
  <c r="C212" i="1" s="1"/>
  <c r="C213" i="1" s="1"/>
  <c r="C214" i="1" s="1"/>
  <c r="C215" i="1" s="1"/>
  <c r="C216" i="1" s="1"/>
  <c r="C217" i="1" s="1"/>
  <c r="C218" i="1" s="1"/>
  <c r="C219" i="1" s="1"/>
  <c r="C220" i="1" s="1"/>
  <c r="C221" i="1" s="1"/>
  <c r="C222" i="1" s="1"/>
  <c r="C223" i="1" s="1"/>
  <c r="C224" i="1" s="1"/>
  <c r="C225" i="1" s="1"/>
  <c r="C226" i="1" s="1"/>
  <c r="C227" i="1" s="1"/>
  <c r="C228" i="1" s="1"/>
  <c r="C229" i="1" s="1"/>
  <c r="C230" i="1" s="1"/>
  <c r="C231" i="1" s="1"/>
  <c r="C232" i="1" s="1"/>
  <c r="C233" i="1" s="1"/>
  <c r="C234" i="1" s="1"/>
  <c r="C235" i="1" s="1"/>
  <c r="C236" i="1" s="1"/>
  <c r="C237" i="1" s="1"/>
  <c r="C238" i="1" s="1"/>
  <c r="C239" i="1" s="1"/>
  <c r="C240" i="1" s="1"/>
  <c r="C241" i="1" s="1"/>
  <c r="C242" i="1" s="1"/>
  <c r="C243" i="1" s="1"/>
  <c r="C244" i="1" s="1"/>
  <c r="C245" i="1" s="1"/>
  <c r="C246" i="1" s="1"/>
  <c r="C247" i="1" s="1"/>
  <c r="C248" i="1" s="1"/>
  <c r="C249" i="1" s="1"/>
  <c r="C250" i="1" s="1"/>
  <c r="C251" i="1" s="1"/>
  <c r="C252" i="1" s="1"/>
  <c r="C253" i="1" s="1"/>
  <c r="C254" i="1" s="1"/>
  <c r="C255" i="1" s="1"/>
  <c r="C256" i="1" s="1"/>
  <c r="C257" i="1" s="1"/>
  <c r="C258" i="1" s="1"/>
  <c r="C259" i="1" s="1"/>
  <c r="C260" i="1" s="1"/>
  <c r="C261" i="1" s="1"/>
  <c r="C262" i="1" s="1"/>
  <c r="C263" i="1" s="1"/>
  <c r="C264" i="1" s="1"/>
  <c r="C265" i="1" s="1"/>
  <c r="C266" i="1" s="1"/>
  <c r="C267" i="1" s="1"/>
  <c r="C268" i="1" s="1"/>
  <c r="C269" i="1" s="1"/>
  <c r="C270" i="1" s="1"/>
  <c r="C271" i="1" s="1"/>
  <c r="C272" i="1" s="1"/>
  <c r="C273" i="1" s="1"/>
  <c r="C274" i="1" s="1"/>
  <c r="C275" i="1" s="1"/>
  <c r="C276" i="1" s="1"/>
  <c r="C277" i="1" s="1"/>
  <c r="C278" i="1" s="1"/>
  <c r="C279" i="1" s="1"/>
  <c r="C280" i="1" s="1"/>
  <c r="C281" i="1" s="1"/>
  <c r="C282" i="1" s="1"/>
  <c r="C283" i="1" s="1"/>
  <c r="C284" i="1" s="1"/>
  <c r="C285" i="1" s="1"/>
  <c r="C286" i="1" s="1"/>
  <c r="C287" i="1" s="1"/>
  <c r="C288" i="1" s="1"/>
  <c r="C289" i="1" s="1"/>
  <c r="C290" i="1" s="1"/>
  <c r="C291" i="1" s="1"/>
  <c r="C292" i="1" s="1"/>
  <c r="C293" i="1" s="1"/>
  <c r="C294" i="1" s="1"/>
  <c r="C295" i="1" s="1"/>
  <c r="C296" i="1" s="1"/>
  <c r="C297" i="1" s="1"/>
  <c r="C298" i="1" s="1"/>
  <c r="C299" i="1" s="1"/>
  <c r="C300" i="1" s="1"/>
  <c r="C301" i="1" s="1"/>
  <c r="C302" i="1" s="1"/>
  <c r="C303" i="1" s="1"/>
  <c r="C304" i="1" s="1"/>
  <c r="C305" i="1" s="1"/>
  <c r="C306" i="1" s="1"/>
  <c r="C307" i="1" s="1"/>
  <c r="C308" i="1" s="1"/>
  <c r="C309" i="1" s="1"/>
  <c r="C310" i="1" s="1"/>
  <c r="C311" i="1" s="1"/>
  <c r="C312" i="1" s="1"/>
  <c r="C313" i="1" s="1"/>
  <c r="C314" i="1" s="1"/>
  <c r="C315" i="1" s="1"/>
  <c r="C316" i="1" s="1"/>
  <c r="C317" i="1" s="1"/>
  <c r="C318" i="1" s="1"/>
  <c r="C319" i="1" s="1"/>
  <c r="C320" i="1" s="1"/>
  <c r="C321" i="1" s="1"/>
  <c r="C322" i="1" s="1"/>
  <c r="C323" i="1" s="1"/>
  <c r="C324" i="1" s="1"/>
  <c r="C325" i="1" s="1"/>
  <c r="C326" i="1" s="1"/>
  <c r="C327" i="1" s="1"/>
  <c r="C328" i="1" s="1"/>
  <c r="C329" i="1" s="1"/>
  <c r="C330" i="1" s="1"/>
  <c r="C331" i="1" s="1"/>
  <c r="C332" i="1" s="1"/>
  <c r="C333" i="1" s="1"/>
  <c r="C334" i="1" s="1"/>
  <c r="C335" i="1" s="1"/>
  <c r="C336" i="1" s="1"/>
  <c r="C337" i="1" s="1"/>
  <c r="C338" i="1" s="1"/>
  <c r="C339" i="1" s="1"/>
  <c r="C340" i="1" s="1"/>
  <c r="C341" i="1" s="1"/>
  <c r="C342" i="1" s="1"/>
  <c r="C343" i="1" s="1"/>
  <c r="C344" i="1" s="1"/>
  <c r="C345" i="1" s="1"/>
  <c r="C346" i="1" s="1"/>
  <c r="C347" i="1" s="1"/>
  <c r="C348" i="1" s="1"/>
  <c r="C349" i="1" s="1"/>
  <c r="C350" i="1" s="1"/>
  <c r="C351" i="1" s="1"/>
  <c r="C352" i="1" s="1"/>
  <c r="C353" i="1" s="1"/>
  <c r="C354" i="1" s="1"/>
  <c r="C355" i="1" s="1"/>
  <c r="C356" i="1" s="1"/>
  <c r="C357" i="1" s="1"/>
  <c r="C358" i="1" s="1"/>
  <c r="C359" i="1" s="1"/>
  <c r="C360" i="1" s="1"/>
  <c r="C361" i="1" s="1"/>
  <c r="C362" i="1" s="1"/>
  <c r="C363" i="1" s="1"/>
  <c r="C364" i="1" s="1"/>
  <c r="C365" i="1" s="1"/>
  <c r="C366" i="1" s="1"/>
  <c r="C367" i="1" s="1"/>
  <c r="C368" i="1" s="1"/>
  <c r="C369" i="1" s="1"/>
  <c r="C370" i="1" s="1"/>
  <c r="C371" i="1" s="1"/>
  <c r="C372" i="1" s="1"/>
  <c r="C373" i="1" s="1"/>
  <c r="C374" i="1" s="1"/>
  <c r="C375" i="1" s="1"/>
  <c r="C376" i="1" s="1"/>
  <c r="C377" i="1" s="1"/>
  <c r="C378" i="1" s="1"/>
  <c r="C379" i="1" s="1"/>
  <c r="C380" i="1" s="1"/>
  <c r="C381" i="1" s="1"/>
  <c r="C382" i="1" s="1"/>
  <c r="C383" i="1" s="1"/>
  <c r="C384" i="1" s="1"/>
  <c r="C385" i="1" s="1"/>
  <c r="C386" i="1" s="1"/>
  <c r="C387" i="1" s="1"/>
  <c r="C388" i="1" s="1"/>
  <c r="C389" i="1" s="1"/>
  <c r="C390" i="1" s="1"/>
  <c r="C391" i="1" s="1"/>
  <c r="C392" i="1" s="1"/>
  <c r="C393" i="1" s="1"/>
  <c r="C394" i="1" s="1"/>
  <c r="C395" i="1" s="1"/>
  <c r="C396" i="1" s="1"/>
  <c r="C397" i="1" s="1"/>
  <c r="C398" i="1" s="1"/>
  <c r="C399" i="1" s="1"/>
  <c r="C400" i="1" s="1"/>
  <c r="C401" i="1" s="1"/>
  <c r="C402" i="1" s="1"/>
  <c r="C403" i="1" s="1"/>
  <c r="C404" i="1" s="1"/>
  <c r="C405" i="1" s="1"/>
  <c r="C406" i="1" s="1"/>
  <c r="C407" i="1" s="1"/>
  <c r="C408" i="1" s="1"/>
  <c r="C409" i="1" s="1"/>
  <c r="C410" i="1" s="1"/>
  <c r="C411" i="1" s="1"/>
  <c r="C412" i="1" s="1"/>
  <c r="C413" i="1" s="1"/>
  <c r="C414" i="1" s="1"/>
  <c r="C415" i="1" s="1"/>
  <c r="C416" i="1" s="1"/>
  <c r="C417" i="1" s="1"/>
  <c r="C418" i="1" s="1"/>
  <c r="C419" i="1" s="1"/>
  <c r="C420" i="1" s="1"/>
  <c r="C421" i="1" s="1"/>
  <c r="C422" i="1" s="1"/>
  <c r="C423" i="1" s="1"/>
  <c r="C424" i="1" s="1"/>
  <c r="C425" i="1" s="1"/>
  <c r="C426" i="1" s="1"/>
  <c r="C427" i="1" s="1"/>
  <c r="C428" i="1" s="1"/>
  <c r="C429" i="1" s="1"/>
  <c r="C430" i="1" s="1"/>
  <c r="C431" i="1" s="1"/>
  <c r="C432" i="1" s="1"/>
  <c r="C433" i="1" s="1"/>
  <c r="C434" i="1" s="1"/>
  <c r="C435" i="1" s="1"/>
  <c r="C436" i="1" s="1"/>
  <c r="C437" i="1" s="1"/>
  <c r="C438" i="1" s="1"/>
  <c r="C439" i="1" s="1"/>
  <c r="C440" i="1" s="1"/>
  <c r="C441" i="1" s="1"/>
  <c r="C442" i="1" s="1"/>
  <c r="C443" i="1" s="1"/>
  <c r="C444" i="1" s="1"/>
  <c r="C445" i="1" s="1"/>
  <c r="C446" i="1" s="1"/>
  <c r="C447" i="1" s="1"/>
  <c r="C448" i="1" s="1"/>
  <c r="C449" i="1" s="1"/>
  <c r="C450" i="1" s="1"/>
  <c r="C451" i="1" s="1"/>
  <c r="C452" i="1" s="1"/>
  <c r="C453" i="1" s="1"/>
  <c r="C454" i="1" s="1"/>
  <c r="C455" i="1" s="1"/>
  <c r="C456" i="1" s="1"/>
  <c r="C457" i="1" s="1"/>
  <c r="C458" i="1" s="1"/>
  <c r="C459" i="1" s="1"/>
  <c r="C460" i="1" s="1"/>
  <c r="C461" i="1" s="1"/>
  <c r="C462" i="1" s="1"/>
  <c r="C463" i="1" s="1"/>
  <c r="C464" i="1" s="1"/>
  <c r="C465" i="1" s="1"/>
  <c r="C466" i="1" s="1"/>
  <c r="C467" i="1" s="1"/>
  <c r="C468" i="1" s="1"/>
  <c r="C469" i="1" s="1"/>
  <c r="C470" i="1" s="1"/>
  <c r="C471" i="1" s="1"/>
  <c r="C472" i="1" s="1"/>
  <c r="C473" i="1" s="1"/>
  <c r="C474" i="1" s="1"/>
  <c r="C475" i="1" s="1"/>
  <c r="C476" i="1" s="1"/>
  <c r="C477" i="1" s="1"/>
  <c r="C478" i="1" s="1"/>
  <c r="C479" i="1" s="1"/>
  <c r="C480" i="1" s="1"/>
  <c r="C481" i="1" s="1"/>
  <c r="C482" i="1" s="1"/>
  <c r="C483" i="1" s="1"/>
  <c r="C484" i="1" s="1"/>
  <c r="C485" i="1" s="1"/>
  <c r="C486" i="1" s="1"/>
  <c r="C487" i="1" s="1"/>
  <c r="C488" i="1" s="1"/>
  <c r="C489" i="1" s="1"/>
  <c r="C490" i="1" s="1"/>
  <c r="C491" i="1" s="1"/>
  <c r="C492" i="1" s="1"/>
  <c r="C493" i="1" s="1"/>
  <c r="C494" i="1" s="1"/>
  <c r="C495" i="1" s="1"/>
  <c r="C496" i="1" s="1"/>
  <c r="C497" i="1" s="1"/>
  <c r="C498" i="1" s="1"/>
  <c r="C499" i="1" s="1"/>
  <c r="C500" i="1" s="1"/>
  <c r="C501" i="1" s="1"/>
  <c r="C502" i="1" s="1"/>
  <c r="C503" i="1" s="1"/>
  <c r="C504" i="1" s="1"/>
  <c r="C505" i="1" s="1"/>
  <c r="C506" i="1" s="1"/>
  <c r="C507" i="1" s="1"/>
  <c r="C508" i="1" s="1"/>
  <c r="C509" i="1" s="1"/>
  <c r="C510" i="1" s="1"/>
  <c r="C511" i="1" s="1"/>
  <c r="C512" i="1" s="1"/>
  <c r="C513" i="1" s="1"/>
  <c r="C514" i="1" s="1"/>
  <c r="C515" i="1" s="1"/>
  <c r="C516" i="1" s="1"/>
  <c r="C517" i="1" s="1"/>
  <c r="C518" i="1" s="1"/>
  <c r="C519" i="1" s="1"/>
  <c r="C520" i="1" s="1"/>
  <c r="C521" i="1" s="1"/>
  <c r="C522" i="1" s="1"/>
  <c r="C523" i="1" s="1"/>
  <c r="C524" i="1" s="1"/>
  <c r="C525" i="1" s="1"/>
  <c r="C526" i="1" s="1"/>
  <c r="C527" i="1" s="1"/>
  <c r="C528" i="1" s="1"/>
  <c r="C529" i="1" s="1"/>
  <c r="C530" i="1" s="1"/>
  <c r="C531" i="1" s="1"/>
  <c r="C532" i="1" s="1"/>
  <c r="C533" i="1" s="1"/>
  <c r="C534" i="1" s="1"/>
  <c r="C535" i="1" s="1"/>
  <c r="C536" i="1" s="1"/>
  <c r="C537" i="1" s="1"/>
  <c r="C538" i="1" s="1"/>
  <c r="C539" i="1" s="1"/>
  <c r="C540" i="1" s="1"/>
  <c r="C541" i="1" s="1"/>
  <c r="C542" i="1" s="1"/>
  <c r="C543" i="1" s="1"/>
  <c r="C544" i="1" s="1"/>
  <c r="C545" i="1" s="1"/>
  <c r="C546" i="1" s="1"/>
  <c r="C547" i="1" s="1"/>
  <c r="C548" i="1" s="1"/>
  <c r="C549" i="1" s="1"/>
  <c r="C550" i="1" s="1"/>
  <c r="C551" i="1" s="1"/>
  <c r="C552" i="1" s="1"/>
  <c r="C553" i="1" s="1"/>
  <c r="C554" i="1" s="1"/>
  <c r="C555" i="1" s="1"/>
  <c r="C556" i="1" s="1"/>
  <c r="C557" i="1" s="1"/>
  <c r="C558" i="1" s="1"/>
  <c r="C559" i="1" s="1"/>
  <c r="C560" i="1" s="1"/>
  <c r="C561" i="1" s="1"/>
  <c r="C562" i="1" s="1"/>
  <c r="C563" i="1" s="1"/>
  <c r="C564" i="1" s="1"/>
  <c r="C565" i="1" s="1"/>
  <c r="C566" i="1" s="1"/>
  <c r="C567" i="1" s="1"/>
  <c r="C568" i="1" s="1"/>
  <c r="C569" i="1" s="1"/>
  <c r="C570" i="1" s="1"/>
  <c r="C571" i="1" s="1"/>
  <c r="C572" i="1" s="1"/>
  <c r="C573" i="1" s="1"/>
  <c r="C574" i="1" s="1"/>
  <c r="C575" i="1" s="1"/>
  <c r="C576" i="1" s="1"/>
  <c r="C577" i="1" s="1"/>
  <c r="C578" i="1" s="1"/>
  <c r="C579" i="1" s="1"/>
  <c r="C580" i="1" s="1"/>
  <c r="C581" i="1" s="1"/>
  <c r="C582" i="1" s="1"/>
  <c r="C583" i="1" s="1"/>
  <c r="C584" i="1" s="1"/>
  <c r="C585" i="1" s="1"/>
  <c r="C586" i="1" s="1"/>
  <c r="C587" i="1" s="1"/>
  <c r="C588" i="1" s="1"/>
  <c r="C589" i="1" s="1"/>
  <c r="C590" i="1" s="1"/>
  <c r="C591" i="1" s="1"/>
  <c r="C592" i="1" s="1"/>
  <c r="C593" i="1" s="1"/>
  <c r="C594" i="1" s="1"/>
  <c r="C595" i="1" s="1"/>
  <c r="C596" i="1" s="1"/>
  <c r="C597" i="1" s="1"/>
  <c r="C598" i="1" s="1"/>
  <c r="C599" i="1" s="1"/>
  <c r="C600" i="1" s="1"/>
  <c r="C601" i="1" s="1"/>
  <c r="C602" i="1" s="1"/>
  <c r="C603" i="1" s="1"/>
  <c r="C604" i="1" s="1"/>
  <c r="C605" i="1" s="1"/>
  <c r="C606" i="1" s="1"/>
  <c r="C607" i="1" s="1"/>
  <c r="C608" i="1" s="1"/>
  <c r="C609" i="1" s="1"/>
  <c r="C610" i="1" s="1"/>
  <c r="C611" i="1" s="1"/>
  <c r="C612" i="1" s="1"/>
  <c r="C613" i="1" s="1"/>
  <c r="C614" i="1" s="1"/>
  <c r="C615" i="1" s="1"/>
  <c r="C616" i="1" s="1"/>
  <c r="C617" i="1" s="1"/>
  <c r="C618" i="1" s="1"/>
  <c r="C619" i="1" s="1"/>
  <c r="C620" i="1" s="1"/>
  <c r="C621" i="1" s="1"/>
  <c r="C622" i="1" s="1"/>
  <c r="C623" i="1" s="1"/>
  <c r="C624" i="1" s="1"/>
  <c r="C625" i="1" s="1"/>
  <c r="C626" i="1" s="1"/>
  <c r="C627" i="1" s="1"/>
  <c r="C628" i="1" s="1"/>
  <c r="C629" i="1" s="1"/>
  <c r="C630" i="1" s="1"/>
  <c r="C631" i="1" s="1"/>
  <c r="C632" i="1" s="1"/>
  <c r="C633" i="1" s="1"/>
  <c r="C634" i="1" s="1"/>
  <c r="C635" i="1" s="1"/>
  <c r="C636" i="1" s="1"/>
  <c r="C637" i="1" s="1"/>
  <c r="C638" i="1" s="1"/>
  <c r="C639" i="1" s="1"/>
  <c r="C640" i="1" s="1"/>
  <c r="C641" i="1" s="1"/>
  <c r="C642" i="1" s="1"/>
  <c r="C643" i="1" s="1"/>
  <c r="C644" i="1" s="1"/>
  <c r="C645" i="1" s="1"/>
  <c r="C646" i="1" s="1"/>
  <c r="C647" i="1" s="1"/>
  <c r="C648" i="1" s="1"/>
  <c r="C649" i="1" s="1"/>
  <c r="C650" i="1" s="1"/>
  <c r="C651" i="1" s="1"/>
  <c r="C652" i="1" s="1"/>
  <c r="C653" i="1" s="1"/>
  <c r="C654" i="1" s="1"/>
  <c r="C655" i="1" s="1"/>
  <c r="C656" i="1" s="1"/>
  <c r="C657" i="1" s="1"/>
  <c r="C658" i="1" s="1"/>
  <c r="C659" i="1" s="1"/>
  <c r="C660" i="1" s="1"/>
  <c r="C661" i="1" s="1"/>
  <c r="C662" i="1" s="1"/>
  <c r="C663" i="1" s="1"/>
  <c r="C664" i="1" s="1"/>
  <c r="C665" i="1" s="1"/>
  <c r="C666" i="1" s="1"/>
  <c r="C667" i="1" s="1"/>
  <c r="C668" i="1" s="1"/>
  <c r="C669" i="1" s="1"/>
  <c r="C670" i="1" s="1"/>
  <c r="C671" i="1" s="1"/>
  <c r="C672" i="1" s="1"/>
  <c r="C673" i="1" s="1"/>
  <c r="C674" i="1" s="1"/>
  <c r="C675" i="1" s="1"/>
  <c r="C676" i="1" s="1"/>
  <c r="C677" i="1" s="1"/>
  <c r="C678" i="1" s="1"/>
  <c r="C679" i="1" s="1"/>
  <c r="C680" i="1" s="1"/>
  <c r="C681" i="1" s="1"/>
  <c r="C682" i="1" s="1"/>
  <c r="C683" i="1" s="1"/>
  <c r="C684" i="1" s="1"/>
  <c r="C685" i="1" s="1"/>
  <c r="C686" i="1" s="1"/>
  <c r="C687" i="1" s="1"/>
  <c r="C688" i="1" s="1"/>
  <c r="C689" i="1" s="1"/>
  <c r="C690" i="1" s="1"/>
  <c r="C691" i="1" s="1"/>
  <c r="C692" i="1" s="1"/>
  <c r="C693" i="1" s="1"/>
  <c r="C694" i="1" s="1"/>
  <c r="C695" i="1" s="1"/>
  <c r="C696" i="1" s="1"/>
  <c r="C697" i="1" s="1"/>
  <c r="C698" i="1" s="1"/>
  <c r="C699" i="1" s="1"/>
  <c r="C700" i="1" s="1"/>
  <c r="C701" i="1" s="1"/>
  <c r="C702" i="1" s="1"/>
  <c r="C703" i="1" s="1"/>
  <c r="C704" i="1" s="1"/>
  <c r="C705" i="1" s="1"/>
  <c r="C706" i="1" s="1"/>
  <c r="C707" i="1" s="1"/>
  <c r="C708" i="1" s="1"/>
  <c r="C709" i="1" s="1"/>
  <c r="C710" i="1" s="1"/>
  <c r="C711" i="1" s="1"/>
  <c r="C712" i="1" s="1"/>
  <c r="C713" i="1" s="1"/>
  <c r="C714" i="1" s="1"/>
  <c r="C715" i="1" s="1"/>
  <c r="C716" i="1" s="1"/>
  <c r="C717" i="1" s="1"/>
  <c r="C718" i="1" s="1"/>
  <c r="C719" i="1" s="1"/>
  <c r="C720" i="1" s="1"/>
  <c r="C721" i="1" s="1"/>
  <c r="C722" i="1" s="1"/>
  <c r="C723" i="1" s="1"/>
  <c r="C724" i="1" s="1"/>
  <c r="C725" i="1" s="1"/>
  <c r="C726" i="1" s="1"/>
  <c r="C727" i="1" s="1"/>
  <c r="C728" i="1" s="1"/>
  <c r="C729" i="1" s="1"/>
  <c r="C730" i="1" s="1"/>
  <c r="C731" i="1" s="1"/>
  <c r="C732" i="1" s="1"/>
  <c r="C733" i="1" s="1"/>
  <c r="C734" i="1" s="1"/>
  <c r="C735" i="1" s="1"/>
  <c r="C736" i="1" s="1"/>
  <c r="C737" i="1" s="1"/>
  <c r="C738" i="1" s="1"/>
  <c r="C739" i="1" s="1"/>
  <c r="C740" i="1" s="1"/>
  <c r="C741" i="1" s="1"/>
  <c r="C742" i="1" s="1"/>
  <c r="C743" i="1" s="1"/>
  <c r="C744" i="1" s="1"/>
  <c r="C745" i="1" s="1"/>
  <c r="C746" i="1" s="1"/>
  <c r="C747" i="1" s="1"/>
  <c r="C748" i="1" s="1"/>
  <c r="C749" i="1" s="1"/>
  <c r="C750" i="1" s="1"/>
  <c r="C751" i="1" s="1"/>
  <c r="C752" i="1" s="1"/>
  <c r="C753" i="1" s="1"/>
  <c r="C754" i="1" s="1"/>
  <c r="C755" i="1" s="1"/>
  <c r="C756" i="1" s="1"/>
  <c r="C757" i="1" s="1"/>
  <c r="C758" i="1" s="1"/>
  <c r="C759" i="1" s="1"/>
  <c r="C760" i="1" s="1"/>
  <c r="C761" i="1" s="1"/>
  <c r="C762" i="1" s="1"/>
  <c r="C763" i="1" s="1"/>
  <c r="C764" i="1" s="1"/>
  <c r="C765" i="1" s="1"/>
  <c r="C766" i="1" s="1"/>
  <c r="C767" i="1" s="1"/>
  <c r="C768" i="1" s="1"/>
  <c r="C769" i="1" s="1"/>
  <c r="C770" i="1" s="1"/>
  <c r="C771" i="1" s="1"/>
  <c r="C772" i="1" s="1"/>
  <c r="C773" i="1" s="1"/>
  <c r="C774" i="1" s="1"/>
  <c r="C775" i="1" s="1"/>
  <c r="C776" i="1" s="1"/>
  <c r="C777" i="1" s="1"/>
  <c r="C778" i="1" s="1"/>
  <c r="C779" i="1" s="1"/>
  <c r="C780" i="1" s="1"/>
  <c r="C781" i="1" s="1"/>
  <c r="C782" i="1" s="1"/>
  <c r="C783" i="1" s="1"/>
  <c r="C784" i="1" s="1"/>
  <c r="C785" i="1" s="1"/>
  <c r="C786" i="1" s="1"/>
  <c r="C787" i="1" s="1"/>
  <c r="C788" i="1" s="1"/>
  <c r="C789" i="1" s="1"/>
  <c r="C790" i="1" s="1"/>
  <c r="C791" i="1" s="1"/>
  <c r="C792" i="1" s="1"/>
  <c r="C793" i="1" s="1"/>
  <c r="C794" i="1" s="1"/>
  <c r="C795" i="1" s="1"/>
  <c r="C796" i="1" s="1"/>
  <c r="C797" i="1" s="1"/>
  <c r="C798" i="1" s="1"/>
  <c r="C799" i="1" s="1"/>
  <c r="C800" i="1" s="1"/>
  <c r="C801" i="1" s="1"/>
  <c r="C802" i="1" s="1"/>
  <c r="C803" i="1" s="1"/>
  <c r="C804" i="1" s="1"/>
  <c r="C805" i="1" s="1"/>
  <c r="C806" i="1" s="1"/>
  <c r="C807" i="1" s="1"/>
  <c r="C808" i="1" s="1"/>
  <c r="C809" i="1" s="1"/>
  <c r="C810" i="1" s="1"/>
  <c r="C811" i="1" s="1"/>
  <c r="C812" i="1" s="1"/>
  <c r="C813" i="1" s="1"/>
  <c r="C814" i="1" s="1"/>
  <c r="C815" i="1" s="1"/>
  <c r="C816" i="1" s="1"/>
  <c r="C817" i="1" s="1"/>
  <c r="C818" i="1" s="1"/>
  <c r="C819" i="1" s="1"/>
  <c r="C820" i="1" s="1"/>
  <c r="C821" i="1" s="1"/>
  <c r="C822" i="1" s="1"/>
  <c r="C823" i="1" s="1"/>
  <c r="C824" i="1" s="1"/>
  <c r="C825" i="1" s="1"/>
  <c r="C826" i="1" s="1"/>
  <c r="C827" i="1" s="1"/>
  <c r="C828" i="1" s="1"/>
  <c r="C829" i="1" s="1"/>
  <c r="C830" i="1" s="1"/>
  <c r="C831" i="1" s="1"/>
  <c r="C832" i="1" s="1"/>
  <c r="C833" i="1" s="1"/>
  <c r="C834" i="1" s="1"/>
  <c r="C835" i="1" s="1"/>
  <c r="C836" i="1" s="1"/>
  <c r="C837" i="1" s="1"/>
  <c r="C838" i="1" s="1"/>
  <c r="C839" i="1" s="1"/>
  <c r="C840" i="1" s="1"/>
  <c r="C841" i="1" s="1"/>
  <c r="C842" i="1" s="1"/>
  <c r="C843" i="1" s="1"/>
  <c r="C844" i="1" s="1"/>
  <c r="C845" i="1" s="1"/>
  <c r="C846" i="1" s="1"/>
  <c r="C847" i="1" s="1"/>
  <c r="C848" i="1" s="1"/>
  <c r="C849" i="1" s="1"/>
  <c r="C850" i="1" s="1"/>
  <c r="C851" i="1" s="1"/>
  <c r="C852" i="1" s="1"/>
  <c r="C853" i="1" s="1"/>
  <c r="C854" i="1" s="1"/>
  <c r="C855" i="1" s="1"/>
  <c r="C856" i="1" s="1"/>
  <c r="C857" i="1" s="1"/>
  <c r="C858" i="1" s="1"/>
  <c r="C859" i="1" s="1"/>
  <c r="C860" i="1" s="1"/>
  <c r="C861" i="1" s="1"/>
  <c r="C862" i="1" s="1"/>
  <c r="C863" i="1" s="1"/>
  <c r="C864" i="1" s="1"/>
  <c r="C865" i="1" s="1"/>
  <c r="C866" i="1" s="1"/>
  <c r="C867" i="1" s="1"/>
  <c r="C868" i="1" s="1"/>
  <c r="C869" i="1" s="1"/>
  <c r="C870" i="1" s="1"/>
  <c r="C871" i="1" s="1"/>
  <c r="C872" i="1" s="1"/>
  <c r="C873" i="1" s="1"/>
  <c r="C874" i="1" s="1"/>
  <c r="C875" i="1" s="1"/>
  <c r="C876" i="1" s="1"/>
  <c r="C877" i="1" s="1"/>
  <c r="C878" i="1" s="1"/>
  <c r="C879" i="1" s="1"/>
  <c r="C880" i="1" s="1"/>
  <c r="C881" i="1" s="1"/>
  <c r="C882" i="1" s="1"/>
  <c r="C883" i="1" s="1"/>
  <c r="C884" i="1" s="1"/>
  <c r="C885" i="1" s="1"/>
  <c r="C886" i="1" s="1"/>
  <c r="C887" i="1" s="1"/>
  <c r="C888" i="1" s="1"/>
  <c r="C889" i="1" s="1"/>
  <c r="C890" i="1" s="1"/>
  <c r="C891" i="1" s="1"/>
  <c r="C892" i="1" s="1"/>
  <c r="C893" i="1" s="1"/>
  <c r="C894" i="1" s="1"/>
  <c r="C895" i="1" s="1"/>
  <c r="C896" i="1" s="1"/>
  <c r="C897" i="1" s="1"/>
  <c r="C898" i="1" s="1"/>
  <c r="C899" i="1" s="1"/>
  <c r="C900" i="1" s="1"/>
  <c r="C901" i="1" s="1"/>
  <c r="C902" i="1" s="1"/>
  <c r="C903" i="1" s="1"/>
  <c r="C904" i="1" s="1"/>
  <c r="C905" i="1" s="1"/>
  <c r="C906" i="1" s="1"/>
  <c r="C907" i="1" s="1"/>
  <c r="C908" i="1" s="1"/>
  <c r="C909" i="1" s="1"/>
  <c r="C910" i="1" s="1"/>
  <c r="C911" i="1" s="1"/>
  <c r="C912" i="1" s="1"/>
  <c r="C913" i="1" s="1"/>
  <c r="C914" i="1" s="1"/>
  <c r="C915" i="1" s="1"/>
  <c r="C916" i="1" s="1"/>
  <c r="C917" i="1" s="1"/>
  <c r="C918" i="1" s="1"/>
  <c r="C919" i="1" s="1"/>
  <c r="C920" i="1" s="1"/>
  <c r="C921" i="1" s="1"/>
  <c r="C922" i="1" s="1"/>
  <c r="C923" i="1" s="1"/>
  <c r="C924" i="1" s="1"/>
  <c r="C925" i="1" s="1"/>
  <c r="C926" i="1" s="1"/>
  <c r="C927" i="1" s="1"/>
  <c r="C928" i="1" s="1"/>
  <c r="C929" i="1" s="1"/>
  <c r="C930" i="1" s="1"/>
  <c r="C931" i="1" s="1"/>
  <c r="C932" i="1" s="1"/>
  <c r="C933" i="1" s="1"/>
  <c r="C934" i="1" s="1"/>
  <c r="C935" i="1" s="1"/>
  <c r="C936" i="1" s="1"/>
  <c r="C937" i="1" s="1"/>
  <c r="C938" i="1" s="1"/>
  <c r="C939" i="1" s="1"/>
  <c r="C940" i="1" s="1"/>
  <c r="C941" i="1" s="1"/>
  <c r="C942" i="1" s="1"/>
  <c r="C943" i="1" s="1"/>
  <c r="C944" i="1" s="1"/>
  <c r="C945" i="1" s="1"/>
  <c r="C946" i="1" s="1"/>
  <c r="C947" i="1" s="1"/>
  <c r="C948" i="1" s="1"/>
  <c r="C949" i="1" s="1"/>
  <c r="C950" i="1" s="1"/>
  <c r="C951" i="1" s="1"/>
  <c r="C952" i="1" s="1"/>
  <c r="C953" i="1" s="1"/>
  <c r="C954" i="1" s="1"/>
  <c r="C955" i="1" s="1"/>
  <c r="C956" i="1" s="1"/>
  <c r="C957" i="1" s="1"/>
  <c r="C958" i="1" s="1"/>
  <c r="C959" i="1" s="1"/>
  <c r="C960" i="1" s="1"/>
  <c r="C961" i="1" s="1"/>
  <c r="C962" i="1" s="1"/>
  <c r="C963" i="1" s="1"/>
  <c r="C964" i="1" s="1"/>
  <c r="C965" i="1" s="1"/>
  <c r="C966" i="1" s="1"/>
  <c r="C967" i="1" s="1"/>
  <c r="C968" i="1" s="1"/>
  <c r="C969" i="1" s="1"/>
  <c r="C970" i="1" s="1"/>
  <c r="C971" i="1" s="1"/>
  <c r="C972" i="1" s="1"/>
  <c r="C973" i="1" s="1"/>
  <c r="C974" i="1" s="1"/>
  <c r="C975" i="1" s="1"/>
  <c r="C976" i="1" s="1"/>
  <c r="C977" i="1" s="1"/>
  <c r="C978" i="1" s="1"/>
  <c r="C979" i="1" s="1"/>
  <c r="C980" i="1" s="1"/>
  <c r="C981" i="1" s="1"/>
  <c r="C982" i="1" s="1"/>
  <c r="C983" i="1" s="1"/>
  <c r="C984" i="1" s="1"/>
  <c r="C985" i="1" s="1"/>
  <c r="C986" i="1" s="1"/>
  <c r="C987" i="1" s="1"/>
  <c r="C988" i="1" s="1"/>
  <c r="C989" i="1" s="1"/>
  <c r="C990" i="1" s="1"/>
  <c r="C991" i="1" s="1"/>
  <c r="C992" i="1" s="1"/>
  <c r="C993" i="1" s="1"/>
  <c r="C994" i="1" s="1"/>
  <c r="C995" i="1" s="1"/>
  <c r="C996" i="1" s="1"/>
  <c r="C997" i="1" s="1"/>
  <c r="C998" i="1" s="1"/>
  <c r="C999" i="1" s="1"/>
  <c r="C1000" i="1" s="1"/>
  <c r="C1001" i="1" s="1"/>
  <c r="C1002" i="1" s="1"/>
  <c r="C1003" i="1" s="1"/>
  <c r="C1004" i="1" s="1"/>
  <c r="C1005" i="1" s="1"/>
  <c r="C1006" i="1" s="1"/>
  <c r="C1007" i="1" s="1"/>
  <c r="C1008" i="1" s="1"/>
  <c r="C1009" i="1" s="1"/>
  <c r="C21" i="2" l="1"/>
  <c r="C22" i="2" s="1"/>
  <c r="A21" i="2"/>
  <c r="E11" i="1"/>
  <c r="D12" i="1"/>
  <c r="E10" i="1"/>
  <c r="F11" i="1" l="1"/>
  <c r="F10" i="1"/>
  <c r="D13" i="1"/>
  <c r="E12" i="1"/>
  <c r="D14" i="1" l="1"/>
  <c r="E13" i="1"/>
  <c r="F12" i="1"/>
  <c r="D15" i="1" l="1"/>
  <c r="E14" i="1"/>
  <c r="F13" i="1"/>
  <c r="F14" i="1" l="1"/>
  <c r="D16" i="1"/>
  <c r="E15" i="1"/>
  <c r="D17" i="1" l="1"/>
  <c r="E16" i="1"/>
  <c r="F16" i="1" s="1"/>
  <c r="F15" i="1"/>
  <c r="D18" i="1" l="1"/>
  <c r="E17" i="1"/>
  <c r="F17" i="1" l="1"/>
  <c r="D19" i="1"/>
  <c r="E18" i="1"/>
  <c r="F18" i="1" s="1"/>
  <c r="D20" i="1" l="1"/>
  <c r="E19" i="1"/>
  <c r="F19" i="1" l="1"/>
  <c r="D21" i="1"/>
  <c r="E20" i="1"/>
  <c r="F20" i="1" s="1"/>
  <c r="D22" i="1" l="1"/>
  <c r="E21" i="1"/>
  <c r="F21" i="1" l="1"/>
  <c r="D23" i="1"/>
  <c r="E22" i="1"/>
  <c r="F22" i="1" s="1"/>
  <c r="E23" i="1" l="1"/>
  <c r="F23" i="1" s="1"/>
  <c r="D24" i="1"/>
  <c r="D25" i="1" l="1"/>
  <c r="E24" i="1"/>
  <c r="F24" i="1" s="1"/>
  <c r="D26" i="1" l="1"/>
  <c r="E25" i="1"/>
  <c r="F25" i="1" l="1"/>
  <c r="D27" i="1"/>
  <c r="E26" i="1"/>
  <c r="F26" i="1" s="1"/>
  <c r="D28" i="1" l="1"/>
  <c r="E27" i="1"/>
  <c r="F27" i="1" s="1"/>
  <c r="D29" i="1" l="1"/>
  <c r="E28" i="1"/>
  <c r="F28" i="1" s="1"/>
  <c r="E29" i="1" l="1"/>
  <c r="F29" i="1" s="1"/>
  <c r="D30" i="1"/>
  <c r="D31" i="1" l="1"/>
  <c r="E30" i="1"/>
  <c r="F30" i="1" s="1"/>
  <c r="D32" i="1" l="1"/>
  <c r="E31" i="1"/>
  <c r="F31" i="1" s="1"/>
  <c r="E32" i="1" l="1"/>
  <c r="F32" i="1" s="1"/>
  <c r="D33" i="1"/>
  <c r="D34" i="1" l="1"/>
  <c r="E33" i="1"/>
  <c r="F33" i="1" s="1"/>
  <c r="D35" i="1" l="1"/>
  <c r="E34" i="1"/>
  <c r="F34" i="1" s="1"/>
  <c r="E35" i="1" l="1"/>
  <c r="F35" i="1" s="1"/>
  <c r="D36" i="1"/>
  <c r="E36" i="1" l="1"/>
  <c r="F36" i="1" s="1"/>
  <c r="D37" i="1"/>
  <c r="E37" i="1" l="1"/>
  <c r="F37" i="1" s="1"/>
  <c r="D38" i="1"/>
  <c r="E38" i="1" l="1"/>
  <c r="F38" i="1" s="1"/>
  <c r="D39" i="1"/>
  <c r="D40" i="1" l="1"/>
  <c r="E39" i="1"/>
  <c r="F39" i="1" s="1"/>
  <c r="E40" i="1" l="1"/>
  <c r="F40" i="1" s="1"/>
  <c r="D41" i="1"/>
  <c r="D42" i="1" l="1"/>
  <c r="E41" i="1"/>
  <c r="F41" i="1" s="1"/>
  <c r="E42" i="1" l="1"/>
  <c r="F42" i="1" s="1"/>
  <c r="D43" i="1"/>
  <c r="E43" i="1" l="1"/>
  <c r="F43" i="1" s="1"/>
  <c r="D44" i="1"/>
  <c r="E44" i="1" l="1"/>
  <c r="F44" i="1" s="1"/>
  <c r="D45" i="1"/>
  <c r="E45" i="1" l="1"/>
  <c r="F45" i="1" s="1"/>
  <c r="D46" i="1"/>
  <c r="E46" i="1" l="1"/>
  <c r="F46" i="1" s="1"/>
  <c r="D47" i="1"/>
  <c r="E47" i="1" l="1"/>
  <c r="F47" i="1" s="1"/>
  <c r="D48" i="1"/>
  <c r="E48" i="1" l="1"/>
  <c r="F48" i="1" s="1"/>
  <c r="D49" i="1"/>
  <c r="E49" i="1" l="1"/>
  <c r="F49" i="1" s="1"/>
  <c r="D50" i="1"/>
  <c r="D51" i="1" l="1"/>
  <c r="E50" i="1"/>
  <c r="F50" i="1" s="1"/>
  <c r="D52" i="1" l="1"/>
  <c r="E51" i="1"/>
  <c r="F51" i="1" s="1"/>
  <c r="E52" i="1" l="1"/>
  <c r="F52" i="1" s="1"/>
  <c r="D53" i="1"/>
  <c r="E53" i="1" l="1"/>
  <c r="F53" i="1" s="1"/>
  <c r="D54" i="1"/>
  <c r="D55" i="1" l="1"/>
  <c r="E54" i="1"/>
  <c r="F54" i="1" s="1"/>
  <c r="E55" i="1" l="1"/>
  <c r="F55" i="1" s="1"/>
  <c r="D56" i="1"/>
  <c r="E56" i="1" l="1"/>
  <c r="F56" i="1" s="1"/>
  <c r="D57" i="1"/>
  <c r="E57" i="1" l="1"/>
  <c r="F57" i="1" s="1"/>
  <c r="D58" i="1"/>
  <c r="E58" i="1" l="1"/>
  <c r="F58" i="1" s="1"/>
  <c r="D59" i="1"/>
  <c r="E59" i="1" l="1"/>
  <c r="F59" i="1" s="1"/>
  <c r="D60" i="1"/>
  <c r="E60" i="1" l="1"/>
  <c r="F60" i="1" s="1"/>
  <c r="D61" i="1"/>
  <c r="E61" i="1" l="1"/>
  <c r="F61" i="1" s="1"/>
  <c r="D62" i="1"/>
  <c r="E62" i="1" l="1"/>
  <c r="F62" i="1" s="1"/>
  <c r="D63" i="1"/>
  <c r="E63" i="1" l="1"/>
  <c r="F63" i="1" s="1"/>
  <c r="D64" i="1"/>
  <c r="E64" i="1" l="1"/>
  <c r="F64" i="1" s="1"/>
  <c r="D65" i="1"/>
  <c r="D66" i="1" l="1"/>
  <c r="E65" i="1"/>
  <c r="F65" i="1" s="1"/>
  <c r="E66" i="1" l="1"/>
  <c r="F66" i="1" s="1"/>
  <c r="D67" i="1"/>
  <c r="E67" i="1" l="1"/>
  <c r="F67" i="1" s="1"/>
  <c r="D68" i="1"/>
  <c r="E68" i="1" l="1"/>
  <c r="F68" i="1" s="1"/>
  <c r="D69" i="1"/>
  <c r="E69" i="1" l="1"/>
  <c r="F69" i="1" s="1"/>
  <c r="D70" i="1"/>
  <c r="E70" i="1" l="1"/>
  <c r="F70" i="1" s="1"/>
  <c r="D71" i="1"/>
  <c r="E71" i="1" l="1"/>
  <c r="F71" i="1" s="1"/>
  <c r="D72" i="1"/>
  <c r="E72" i="1" l="1"/>
  <c r="F72" i="1" s="1"/>
  <c r="D73" i="1"/>
  <c r="E73" i="1" l="1"/>
  <c r="F73" i="1" s="1"/>
  <c r="D74" i="1"/>
  <c r="E74" i="1" l="1"/>
  <c r="F74" i="1" s="1"/>
  <c r="D75" i="1"/>
  <c r="E75" i="1" l="1"/>
  <c r="F75" i="1" s="1"/>
  <c r="D76" i="1"/>
  <c r="E76" i="1" l="1"/>
  <c r="F76" i="1" s="1"/>
  <c r="D77" i="1"/>
  <c r="E77" i="1" l="1"/>
  <c r="F77" i="1" s="1"/>
  <c r="D78" i="1"/>
  <c r="E78" i="1" l="1"/>
  <c r="F78" i="1" s="1"/>
  <c r="D79" i="1"/>
  <c r="E79" i="1" l="1"/>
  <c r="F79" i="1" s="1"/>
  <c r="D80" i="1"/>
  <c r="E80" i="1" l="1"/>
  <c r="F80" i="1" s="1"/>
  <c r="D81" i="1"/>
  <c r="E81" i="1" l="1"/>
  <c r="F81" i="1" s="1"/>
  <c r="D82" i="1"/>
  <c r="E82" i="1" l="1"/>
  <c r="F82" i="1" s="1"/>
  <c r="D83" i="1"/>
  <c r="E83" i="1" l="1"/>
  <c r="F83" i="1" s="1"/>
  <c r="D84" i="1"/>
  <c r="E84" i="1" l="1"/>
  <c r="F84" i="1" s="1"/>
  <c r="D85" i="1"/>
  <c r="E85" i="1" l="1"/>
  <c r="F85" i="1" s="1"/>
  <c r="D86" i="1"/>
  <c r="E86" i="1" l="1"/>
  <c r="F86" i="1" s="1"/>
  <c r="D87" i="1"/>
  <c r="E87" i="1" l="1"/>
  <c r="F87" i="1" s="1"/>
  <c r="D88" i="1"/>
  <c r="D89" i="1" l="1"/>
  <c r="E88" i="1"/>
  <c r="F88" i="1" s="1"/>
  <c r="E89" i="1" l="1"/>
  <c r="F89" i="1" s="1"/>
  <c r="D90" i="1"/>
  <c r="E90" i="1" l="1"/>
  <c r="F90" i="1" s="1"/>
  <c r="D91" i="1"/>
  <c r="E91" i="1" l="1"/>
  <c r="F91" i="1" s="1"/>
  <c r="D92" i="1"/>
  <c r="D93" i="1" l="1"/>
  <c r="E92" i="1"/>
  <c r="F92" i="1" s="1"/>
  <c r="E93" i="1" l="1"/>
  <c r="F93" i="1" s="1"/>
  <c r="D94" i="1"/>
  <c r="E94" i="1" l="1"/>
  <c r="F94" i="1" s="1"/>
  <c r="D95" i="1"/>
  <c r="E95" i="1" l="1"/>
  <c r="F95" i="1" s="1"/>
  <c r="D96" i="1"/>
  <c r="E96" i="1" l="1"/>
  <c r="F96" i="1" s="1"/>
  <c r="D97" i="1"/>
  <c r="E97" i="1" l="1"/>
  <c r="F97" i="1" s="1"/>
  <c r="D98" i="1"/>
  <c r="E98" i="1" l="1"/>
  <c r="F98" i="1" s="1"/>
  <c r="D99" i="1"/>
  <c r="E99" i="1" l="1"/>
  <c r="F99" i="1" s="1"/>
  <c r="D100" i="1"/>
  <c r="E100" i="1" l="1"/>
  <c r="F100" i="1" s="1"/>
  <c r="D101" i="1"/>
  <c r="E101" i="1" l="1"/>
  <c r="F101" i="1" s="1"/>
  <c r="D102" i="1"/>
  <c r="E102" i="1" l="1"/>
  <c r="F102" i="1" s="1"/>
  <c r="D103" i="1"/>
  <c r="D104" i="1" l="1"/>
  <c r="E103" i="1"/>
  <c r="F103" i="1" s="1"/>
  <c r="E104" i="1" l="1"/>
  <c r="F104" i="1" s="1"/>
  <c r="D105" i="1"/>
  <c r="E105" i="1" l="1"/>
  <c r="F105" i="1" s="1"/>
  <c r="D106" i="1"/>
  <c r="E106" i="1" l="1"/>
  <c r="F106" i="1" s="1"/>
  <c r="D107" i="1"/>
  <c r="E107" i="1" l="1"/>
  <c r="F107" i="1" s="1"/>
  <c r="D108" i="1"/>
  <c r="E108" i="1" l="1"/>
  <c r="F108" i="1" s="1"/>
  <c r="D109" i="1"/>
  <c r="E109" i="1" l="1"/>
  <c r="F109" i="1" s="1"/>
  <c r="D110" i="1"/>
  <c r="E110" i="1" l="1"/>
  <c r="F110" i="1" s="1"/>
  <c r="D111" i="1"/>
  <c r="E111" i="1" l="1"/>
  <c r="F111" i="1" s="1"/>
  <c r="D112" i="1"/>
  <c r="E112" i="1" l="1"/>
  <c r="F112" i="1" s="1"/>
  <c r="D113" i="1"/>
  <c r="E113" i="1" l="1"/>
  <c r="F113" i="1" s="1"/>
  <c r="D114" i="1"/>
  <c r="E114" i="1" l="1"/>
  <c r="F114" i="1" s="1"/>
  <c r="D115" i="1"/>
  <c r="E115" i="1" l="1"/>
  <c r="F115" i="1" s="1"/>
  <c r="D116" i="1"/>
  <c r="E116" i="1" l="1"/>
  <c r="F116" i="1" s="1"/>
  <c r="D117" i="1"/>
  <c r="E117" i="1" l="1"/>
  <c r="F117" i="1" s="1"/>
  <c r="D118" i="1"/>
  <c r="D119" i="1" l="1"/>
  <c r="E118" i="1"/>
  <c r="F118" i="1" s="1"/>
  <c r="E119" i="1" l="1"/>
  <c r="F119" i="1" s="1"/>
  <c r="D120" i="1"/>
  <c r="E120" i="1" l="1"/>
  <c r="F120" i="1" s="1"/>
  <c r="D121" i="1"/>
  <c r="E121" i="1" l="1"/>
  <c r="F121" i="1" s="1"/>
  <c r="D122" i="1"/>
  <c r="E122" i="1" l="1"/>
  <c r="F122" i="1" s="1"/>
  <c r="D123" i="1"/>
  <c r="E123" i="1" l="1"/>
  <c r="F123" i="1" s="1"/>
  <c r="D124" i="1"/>
  <c r="E124" i="1" l="1"/>
  <c r="F124" i="1" s="1"/>
  <c r="D125" i="1"/>
  <c r="E125" i="1" l="1"/>
  <c r="F125" i="1" s="1"/>
  <c r="D126" i="1"/>
  <c r="E126" i="1" l="1"/>
  <c r="F126" i="1" s="1"/>
  <c r="D127" i="1"/>
  <c r="E127" i="1" l="1"/>
  <c r="F127" i="1" s="1"/>
  <c r="D128" i="1"/>
  <c r="D129" i="1" l="1"/>
  <c r="E128" i="1"/>
  <c r="F128" i="1" s="1"/>
  <c r="E129" i="1" l="1"/>
  <c r="F129" i="1" s="1"/>
  <c r="D130" i="1"/>
  <c r="E130" i="1" l="1"/>
  <c r="F130" i="1" s="1"/>
  <c r="D131" i="1"/>
  <c r="E131" i="1" l="1"/>
  <c r="F131" i="1" s="1"/>
  <c r="D132" i="1"/>
  <c r="E132" i="1" l="1"/>
  <c r="F132" i="1" s="1"/>
  <c r="D133" i="1"/>
  <c r="E133" i="1" l="1"/>
  <c r="F133" i="1" s="1"/>
  <c r="D134" i="1"/>
  <c r="E134" i="1" l="1"/>
  <c r="F134" i="1" s="1"/>
  <c r="D135" i="1"/>
  <c r="E135" i="1" l="1"/>
  <c r="F135" i="1" s="1"/>
  <c r="D136" i="1"/>
  <c r="E136" i="1" l="1"/>
  <c r="F136" i="1" s="1"/>
  <c r="D137" i="1"/>
  <c r="E137" i="1" l="1"/>
  <c r="F137" i="1" s="1"/>
  <c r="D138" i="1"/>
  <c r="E138" i="1" l="1"/>
  <c r="F138" i="1" s="1"/>
  <c r="D139" i="1"/>
  <c r="E139" i="1" l="1"/>
  <c r="F139" i="1" s="1"/>
  <c r="D140" i="1"/>
  <c r="E140" i="1" l="1"/>
  <c r="F140" i="1" s="1"/>
  <c r="D141" i="1"/>
  <c r="E141" i="1" l="1"/>
  <c r="F141" i="1" s="1"/>
  <c r="D142" i="1"/>
  <c r="E142" i="1" l="1"/>
  <c r="F142" i="1" s="1"/>
  <c r="D143" i="1"/>
  <c r="E143" i="1" l="1"/>
  <c r="F143" i="1" s="1"/>
  <c r="D144" i="1"/>
  <c r="E144" i="1" l="1"/>
  <c r="F144" i="1" s="1"/>
  <c r="D145" i="1"/>
  <c r="E145" i="1" l="1"/>
  <c r="F145" i="1" s="1"/>
  <c r="D146" i="1"/>
  <c r="E146" i="1" l="1"/>
  <c r="F146" i="1" s="1"/>
  <c r="D147" i="1"/>
  <c r="E147" i="1" l="1"/>
  <c r="F147" i="1" s="1"/>
  <c r="D148" i="1"/>
  <c r="E148" i="1" l="1"/>
  <c r="F148" i="1" s="1"/>
  <c r="D149" i="1"/>
  <c r="E149" i="1" l="1"/>
  <c r="F149" i="1" s="1"/>
  <c r="D150" i="1"/>
  <c r="E150" i="1" l="1"/>
  <c r="F150" i="1" s="1"/>
  <c r="D151" i="1"/>
  <c r="D152" i="1" l="1"/>
  <c r="E151" i="1"/>
  <c r="F151" i="1" s="1"/>
  <c r="E152" i="1" l="1"/>
  <c r="F152" i="1" s="1"/>
  <c r="D153" i="1"/>
  <c r="E153" i="1" l="1"/>
  <c r="F153" i="1" s="1"/>
  <c r="D154" i="1"/>
  <c r="E154" i="1" l="1"/>
  <c r="F154" i="1" s="1"/>
  <c r="D155" i="1"/>
  <c r="E155" i="1" l="1"/>
  <c r="F155" i="1" s="1"/>
  <c r="D156" i="1"/>
  <c r="D157" i="1" l="1"/>
  <c r="E156" i="1"/>
  <c r="F156" i="1" s="1"/>
  <c r="E157" i="1" l="1"/>
  <c r="F157" i="1" s="1"/>
  <c r="D158" i="1"/>
  <c r="E158" i="1" l="1"/>
  <c r="F158" i="1" s="1"/>
  <c r="D159" i="1"/>
  <c r="E159" i="1" l="1"/>
  <c r="F159" i="1" s="1"/>
  <c r="D160" i="1"/>
  <c r="E160" i="1" l="1"/>
  <c r="F160" i="1" s="1"/>
  <c r="D161" i="1"/>
  <c r="E161" i="1" l="1"/>
  <c r="F161" i="1" s="1"/>
  <c r="D162" i="1"/>
  <c r="E162" i="1" l="1"/>
  <c r="F162" i="1" s="1"/>
  <c r="D163" i="1"/>
  <c r="E163" i="1" l="1"/>
  <c r="F163" i="1" s="1"/>
  <c r="D164" i="1"/>
  <c r="E164" i="1" l="1"/>
  <c r="F164" i="1" s="1"/>
  <c r="D165" i="1"/>
  <c r="E165" i="1" l="1"/>
  <c r="F165" i="1" s="1"/>
  <c r="D166" i="1"/>
  <c r="E166" i="1" l="1"/>
  <c r="F166" i="1" s="1"/>
  <c r="D167" i="1"/>
  <c r="E167" i="1" l="1"/>
  <c r="F167" i="1" s="1"/>
  <c r="D168" i="1"/>
  <c r="E168" i="1" l="1"/>
  <c r="F168" i="1" s="1"/>
  <c r="D169" i="1"/>
  <c r="E169" i="1" l="1"/>
  <c r="F169" i="1" s="1"/>
  <c r="D170" i="1"/>
  <c r="D171" i="1" l="1"/>
  <c r="E170" i="1"/>
  <c r="F170" i="1" s="1"/>
  <c r="E171" i="1" l="1"/>
  <c r="F171" i="1" s="1"/>
  <c r="D172" i="1"/>
  <c r="D173" i="1" l="1"/>
  <c r="E172" i="1"/>
  <c r="F172" i="1" s="1"/>
  <c r="D174" i="1" l="1"/>
  <c r="E173" i="1"/>
  <c r="F173" i="1" s="1"/>
  <c r="D175" i="1" l="1"/>
  <c r="E174" i="1"/>
  <c r="F174" i="1" s="1"/>
  <c r="E175" i="1" l="1"/>
  <c r="F175" i="1" s="1"/>
  <c r="D176" i="1"/>
  <c r="E176" i="1" l="1"/>
  <c r="F176" i="1" s="1"/>
  <c r="D177" i="1"/>
  <c r="D178" i="1" l="1"/>
  <c r="E177" i="1"/>
  <c r="F177" i="1" s="1"/>
  <c r="E178" i="1" l="1"/>
  <c r="F178" i="1" s="1"/>
  <c r="D179" i="1"/>
  <c r="E179" i="1" l="1"/>
  <c r="F179" i="1" s="1"/>
  <c r="D180" i="1"/>
  <c r="D181" i="1" l="1"/>
  <c r="E180" i="1"/>
  <c r="F180" i="1" s="1"/>
  <c r="E181" i="1" l="1"/>
  <c r="F181" i="1" s="1"/>
  <c r="D182" i="1"/>
  <c r="E182" i="1" l="1"/>
  <c r="F182" i="1" s="1"/>
  <c r="D183" i="1"/>
  <c r="E183" i="1" l="1"/>
  <c r="F183" i="1" s="1"/>
  <c r="D184" i="1"/>
  <c r="E184" i="1" l="1"/>
  <c r="F184" i="1" s="1"/>
  <c r="D185" i="1"/>
  <c r="E185" i="1" l="1"/>
  <c r="F185" i="1" s="1"/>
  <c r="D186" i="1"/>
  <c r="E186" i="1" l="1"/>
  <c r="F186" i="1" s="1"/>
  <c r="D187" i="1"/>
  <c r="D188" i="1" l="1"/>
  <c r="E187" i="1"/>
  <c r="F187" i="1" s="1"/>
  <c r="D189" i="1" l="1"/>
  <c r="E188" i="1"/>
  <c r="F188" i="1" s="1"/>
  <c r="E189" i="1" l="1"/>
  <c r="F189" i="1" s="1"/>
  <c r="D190" i="1"/>
  <c r="D191" i="1" l="1"/>
  <c r="E190" i="1"/>
  <c r="F190" i="1" s="1"/>
  <c r="E191" i="1" l="1"/>
  <c r="F191" i="1" s="1"/>
  <c r="D192" i="1"/>
  <c r="D193" i="1" l="1"/>
  <c r="E192" i="1"/>
  <c r="F192" i="1" s="1"/>
  <c r="D194" i="1" l="1"/>
  <c r="E193" i="1"/>
  <c r="F193" i="1" s="1"/>
  <c r="D195" i="1" l="1"/>
  <c r="E194" i="1"/>
  <c r="F194" i="1" s="1"/>
  <c r="D196" i="1" l="1"/>
  <c r="E195" i="1"/>
  <c r="F195" i="1" s="1"/>
  <c r="D197" i="1" l="1"/>
  <c r="E196" i="1"/>
  <c r="F196" i="1" s="1"/>
  <c r="E197" i="1" l="1"/>
  <c r="F197" i="1" s="1"/>
  <c r="D198" i="1"/>
  <c r="E198" i="1" l="1"/>
  <c r="F198" i="1" s="1"/>
  <c r="D199" i="1"/>
  <c r="E199" i="1" l="1"/>
  <c r="F199" i="1" s="1"/>
  <c r="D200" i="1"/>
  <c r="E200" i="1" l="1"/>
  <c r="F200" i="1" s="1"/>
  <c r="D201" i="1"/>
  <c r="D202" i="1" l="1"/>
  <c r="E201" i="1"/>
  <c r="F201" i="1" s="1"/>
  <c r="D203" i="1" l="1"/>
  <c r="E202" i="1"/>
  <c r="F202" i="1" s="1"/>
  <c r="D204" i="1" l="1"/>
  <c r="E203" i="1"/>
  <c r="F203" i="1" s="1"/>
  <c r="D205" i="1" l="1"/>
  <c r="E204" i="1"/>
  <c r="F204" i="1" s="1"/>
  <c r="D206" i="1" l="1"/>
  <c r="E205" i="1"/>
  <c r="F205" i="1" s="1"/>
  <c r="E206" i="1" l="1"/>
  <c r="F206" i="1" s="1"/>
  <c r="D207" i="1"/>
  <c r="D208" i="1" l="1"/>
  <c r="E207" i="1"/>
  <c r="F207" i="1" s="1"/>
  <c r="E208" i="1" l="1"/>
  <c r="F208" i="1" s="1"/>
  <c r="D209" i="1"/>
  <c r="E209" i="1" l="1"/>
  <c r="F209" i="1" s="1"/>
  <c r="D210" i="1"/>
  <c r="D211" i="1" l="1"/>
  <c r="E210" i="1"/>
  <c r="F210" i="1" s="1"/>
  <c r="E211" i="1" l="1"/>
  <c r="F211" i="1" s="1"/>
  <c r="D212" i="1"/>
  <c r="D213" i="1" l="1"/>
  <c r="E212" i="1"/>
  <c r="F212" i="1" s="1"/>
  <c r="D214" i="1" l="1"/>
  <c r="E213" i="1"/>
  <c r="F213" i="1" s="1"/>
  <c r="E214" i="1" l="1"/>
  <c r="F214" i="1" s="1"/>
  <c r="D215" i="1"/>
  <c r="D216" i="1" l="1"/>
  <c r="E215" i="1"/>
  <c r="F215" i="1" s="1"/>
  <c r="D217" i="1" l="1"/>
  <c r="E216" i="1"/>
  <c r="F216" i="1" s="1"/>
  <c r="E217" i="1" l="1"/>
  <c r="F217" i="1" s="1"/>
  <c r="D218" i="1"/>
  <c r="D219" i="1" l="1"/>
  <c r="E218" i="1"/>
  <c r="F218" i="1" s="1"/>
  <c r="D220" i="1" l="1"/>
  <c r="E219" i="1"/>
  <c r="F219" i="1" s="1"/>
  <c r="D221" i="1" l="1"/>
  <c r="E220" i="1"/>
  <c r="F220" i="1" s="1"/>
  <c r="D222" i="1" l="1"/>
  <c r="E221" i="1"/>
  <c r="F221" i="1" s="1"/>
  <c r="E222" i="1" l="1"/>
  <c r="F222" i="1" s="1"/>
  <c r="D223" i="1"/>
  <c r="D224" i="1" l="1"/>
  <c r="E223" i="1"/>
  <c r="F223" i="1" s="1"/>
  <c r="E224" i="1" l="1"/>
  <c r="F224" i="1" s="1"/>
  <c r="D225" i="1"/>
  <c r="D226" i="1" l="1"/>
  <c r="E225" i="1"/>
  <c r="F225" i="1" s="1"/>
  <c r="E226" i="1" l="1"/>
  <c r="F226" i="1" s="1"/>
  <c r="D227" i="1"/>
  <c r="D228" i="1" l="1"/>
  <c r="E227" i="1"/>
  <c r="F227" i="1" s="1"/>
  <c r="D229" i="1" l="1"/>
  <c r="E228" i="1"/>
  <c r="F228" i="1" s="1"/>
  <c r="D230" i="1" l="1"/>
  <c r="E229" i="1"/>
  <c r="F229" i="1" s="1"/>
  <c r="D231" i="1" l="1"/>
  <c r="E230" i="1"/>
  <c r="F230" i="1" s="1"/>
  <c r="E231" i="1" l="1"/>
  <c r="F231" i="1" s="1"/>
  <c r="D232" i="1"/>
  <c r="D233" i="1" l="1"/>
  <c r="E232" i="1"/>
  <c r="F232" i="1" s="1"/>
  <c r="D234" i="1" l="1"/>
  <c r="E233" i="1"/>
  <c r="F233" i="1" s="1"/>
  <c r="E234" i="1" l="1"/>
  <c r="F234" i="1" s="1"/>
  <c r="D235" i="1"/>
  <c r="D236" i="1" l="1"/>
  <c r="E235" i="1"/>
  <c r="F235" i="1" s="1"/>
  <c r="D237" i="1" l="1"/>
  <c r="E236" i="1"/>
  <c r="F236" i="1" s="1"/>
  <c r="E237" i="1" l="1"/>
  <c r="F237" i="1" s="1"/>
  <c r="D238" i="1"/>
  <c r="E238" i="1" l="1"/>
  <c r="F238" i="1" s="1"/>
  <c r="D239" i="1"/>
  <c r="D240" i="1" l="1"/>
  <c r="E239" i="1"/>
  <c r="F239" i="1" s="1"/>
  <c r="E240" i="1" l="1"/>
  <c r="F240" i="1" s="1"/>
  <c r="D241" i="1"/>
  <c r="D242" i="1" l="1"/>
  <c r="E241" i="1"/>
  <c r="F241" i="1" s="1"/>
  <c r="E242" i="1" l="1"/>
  <c r="F242" i="1" s="1"/>
  <c r="D243" i="1"/>
  <c r="D244" i="1" l="1"/>
  <c r="E243" i="1"/>
  <c r="F243" i="1" s="1"/>
  <c r="E244" i="1" l="1"/>
  <c r="F244" i="1" s="1"/>
  <c r="D245" i="1"/>
  <c r="D246" i="1" l="1"/>
  <c r="E245" i="1"/>
  <c r="F245" i="1" s="1"/>
  <c r="D247" i="1" l="1"/>
  <c r="E246" i="1"/>
  <c r="F246" i="1" s="1"/>
  <c r="E247" i="1" l="1"/>
  <c r="F247" i="1" s="1"/>
  <c r="D248" i="1"/>
  <c r="D249" i="1" l="1"/>
  <c r="E248" i="1"/>
  <c r="F248" i="1" s="1"/>
  <c r="D250" i="1" l="1"/>
  <c r="E249" i="1"/>
  <c r="F249" i="1" s="1"/>
  <c r="D251" i="1" l="1"/>
  <c r="E250" i="1"/>
  <c r="F250" i="1" s="1"/>
  <c r="D252" i="1" l="1"/>
  <c r="E251" i="1"/>
  <c r="F251" i="1" s="1"/>
  <c r="D253" i="1" l="1"/>
  <c r="E252" i="1"/>
  <c r="F252" i="1" s="1"/>
  <c r="D254" i="1" l="1"/>
  <c r="E253" i="1"/>
  <c r="F253" i="1" s="1"/>
  <c r="E254" i="1" l="1"/>
  <c r="F254" i="1" s="1"/>
  <c r="D255" i="1"/>
  <c r="E255" i="1" l="1"/>
  <c r="F255" i="1" s="1"/>
  <c r="D256" i="1"/>
  <c r="E256" i="1" l="1"/>
  <c r="F256" i="1" s="1"/>
  <c r="D257" i="1"/>
  <c r="D258" i="1" l="1"/>
  <c r="E257" i="1"/>
  <c r="F257" i="1" s="1"/>
  <c r="E258" i="1" l="1"/>
  <c r="F258" i="1" s="1"/>
  <c r="D259" i="1"/>
  <c r="D260" i="1" l="1"/>
  <c r="E259" i="1"/>
  <c r="F259" i="1" s="1"/>
  <c r="D261" i="1" l="1"/>
  <c r="E260" i="1"/>
  <c r="F260" i="1" s="1"/>
  <c r="E261" i="1" l="1"/>
  <c r="F261" i="1" s="1"/>
  <c r="D262" i="1"/>
  <c r="D263" i="1" l="1"/>
  <c r="E262" i="1"/>
  <c r="F262" i="1" s="1"/>
  <c r="E263" i="1" l="1"/>
  <c r="F263" i="1" s="1"/>
  <c r="D264" i="1"/>
  <c r="D265" i="1" l="1"/>
  <c r="E264" i="1"/>
  <c r="F264" i="1" s="1"/>
  <c r="D266" i="1" l="1"/>
  <c r="E265" i="1"/>
  <c r="F265" i="1" s="1"/>
  <c r="D267" i="1" l="1"/>
  <c r="E266" i="1"/>
  <c r="F266" i="1" s="1"/>
  <c r="D268" i="1" l="1"/>
  <c r="E267" i="1"/>
  <c r="F267" i="1" s="1"/>
  <c r="D269" i="1" l="1"/>
  <c r="E268" i="1"/>
  <c r="F268" i="1" s="1"/>
  <c r="D270" i="1" l="1"/>
  <c r="E269" i="1"/>
  <c r="F269" i="1" s="1"/>
  <c r="D271" i="1" l="1"/>
  <c r="E270" i="1"/>
  <c r="F270" i="1" s="1"/>
  <c r="D272" i="1" l="1"/>
  <c r="E271" i="1"/>
  <c r="F271" i="1" s="1"/>
  <c r="D273" i="1" l="1"/>
  <c r="E272" i="1"/>
  <c r="F272" i="1" s="1"/>
  <c r="D274" i="1" l="1"/>
  <c r="E273" i="1"/>
  <c r="F273" i="1" s="1"/>
  <c r="D275" i="1" l="1"/>
  <c r="E274" i="1"/>
  <c r="F274" i="1" s="1"/>
  <c r="D276" i="1" l="1"/>
  <c r="E275" i="1"/>
  <c r="F275" i="1" s="1"/>
  <c r="D277" i="1" l="1"/>
  <c r="E276" i="1"/>
  <c r="F276" i="1" s="1"/>
  <c r="D278" i="1" l="1"/>
  <c r="E277" i="1"/>
  <c r="F277" i="1" s="1"/>
  <c r="D279" i="1" l="1"/>
  <c r="E278" i="1"/>
  <c r="F278" i="1" s="1"/>
  <c r="D280" i="1" l="1"/>
  <c r="E279" i="1"/>
  <c r="F279" i="1" s="1"/>
  <c r="D281" i="1" l="1"/>
  <c r="E280" i="1"/>
  <c r="F280" i="1" s="1"/>
  <c r="D282" i="1" l="1"/>
  <c r="E281" i="1"/>
  <c r="F281" i="1" s="1"/>
  <c r="E282" i="1" l="1"/>
  <c r="F282" i="1" s="1"/>
  <c r="D283" i="1"/>
  <c r="D284" i="1" l="1"/>
  <c r="E283" i="1"/>
  <c r="F283" i="1" s="1"/>
  <c r="D285" i="1" l="1"/>
  <c r="E284" i="1"/>
  <c r="F284" i="1" s="1"/>
  <c r="D286" i="1" l="1"/>
  <c r="E285" i="1"/>
  <c r="F285" i="1" s="1"/>
  <c r="D287" i="1" l="1"/>
  <c r="E286" i="1"/>
  <c r="F286" i="1" s="1"/>
  <c r="D288" i="1" l="1"/>
  <c r="E287" i="1"/>
  <c r="F287" i="1" s="1"/>
  <c r="D289" i="1" l="1"/>
  <c r="E288" i="1"/>
  <c r="F288" i="1" s="1"/>
  <c r="D290" i="1" l="1"/>
  <c r="E289" i="1"/>
  <c r="F289" i="1" s="1"/>
  <c r="D291" i="1" l="1"/>
  <c r="E290" i="1"/>
  <c r="F290" i="1" s="1"/>
  <c r="D292" i="1" l="1"/>
  <c r="E291" i="1"/>
  <c r="F291" i="1" s="1"/>
  <c r="D293" i="1" l="1"/>
  <c r="E292" i="1"/>
  <c r="F292" i="1" s="1"/>
  <c r="D294" i="1" l="1"/>
  <c r="E293" i="1"/>
  <c r="F293" i="1" s="1"/>
  <c r="D295" i="1" l="1"/>
  <c r="E294" i="1"/>
  <c r="F294" i="1" s="1"/>
  <c r="D296" i="1" l="1"/>
  <c r="E295" i="1"/>
  <c r="F295" i="1" s="1"/>
  <c r="D297" i="1" l="1"/>
  <c r="E296" i="1"/>
  <c r="F296" i="1" s="1"/>
  <c r="D298" i="1" l="1"/>
  <c r="E297" i="1"/>
  <c r="F297" i="1" s="1"/>
  <c r="D299" i="1" l="1"/>
  <c r="E298" i="1"/>
  <c r="F298" i="1" s="1"/>
  <c r="D300" i="1" l="1"/>
  <c r="E299" i="1"/>
  <c r="F299" i="1" s="1"/>
  <c r="D301" i="1" l="1"/>
  <c r="E300" i="1"/>
  <c r="F300" i="1" s="1"/>
  <c r="E301" i="1" l="1"/>
  <c r="F301" i="1" s="1"/>
  <c r="D302" i="1"/>
  <c r="D303" i="1" l="1"/>
  <c r="E302" i="1"/>
  <c r="F302" i="1" s="1"/>
  <c r="D304" i="1" l="1"/>
  <c r="E303" i="1"/>
  <c r="F303" i="1" s="1"/>
  <c r="D305" i="1" l="1"/>
  <c r="E304" i="1"/>
  <c r="F304" i="1" s="1"/>
  <c r="D306" i="1" l="1"/>
  <c r="E305" i="1"/>
  <c r="F305" i="1" s="1"/>
  <c r="D307" i="1" l="1"/>
  <c r="E306" i="1"/>
  <c r="F306" i="1" s="1"/>
  <c r="D308" i="1" l="1"/>
  <c r="E307" i="1"/>
  <c r="F307" i="1" s="1"/>
  <c r="D309" i="1" l="1"/>
  <c r="E308" i="1"/>
  <c r="F308" i="1" s="1"/>
  <c r="D310" i="1" l="1"/>
  <c r="E309" i="1"/>
  <c r="F309" i="1" s="1"/>
  <c r="D311" i="1" l="1"/>
  <c r="E310" i="1"/>
  <c r="F310" i="1" s="1"/>
  <c r="D312" i="1" l="1"/>
  <c r="E311" i="1"/>
  <c r="F311" i="1" s="1"/>
  <c r="D313" i="1" l="1"/>
  <c r="E312" i="1"/>
  <c r="F312" i="1" s="1"/>
  <c r="D314" i="1" l="1"/>
  <c r="E313" i="1"/>
  <c r="F313" i="1" s="1"/>
  <c r="D315" i="1" l="1"/>
  <c r="E314" i="1"/>
  <c r="F314" i="1" s="1"/>
  <c r="D316" i="1" l="1"/>
  <c r="E315" i="1"/>
  <c r="F315" i="1" s="1"/>
  <c r="D317" i="1" l="1"/>
  <c r="E316" i="1"/>
  <c r="F316" i="1" s="1"/>
  <c r="D318" i="1" l="1"/>
  <c r="E317" i="1"/>
  <c r="F317" i="1" s="1"/>
  <c r="D319" i="1" l="1"/>
  <c r="E318" i="1"/>
  <c r="F318" i="1" s="1"/>
  <c r="D320" i="1" l="1"/>
  <c r="E319" i="1"/>
  <c r="F319" i="1" s="1"/>
  <c r="D321" i="1" l="1"/>
  <c r="E320" i="1"/>
  <c r="F320" i="1" s="1"/>
  <c r="D322" i="1" l="1"/>
  <c r="E321" i="1"/>
  <c r="F321" i="1" s="1"/>
  <c r="D323" i="1" l="1"/>
  <c r="E322" i="1"/>
  <c r="F322" i="1" s="1"/>
  <c r="D324" i="1" l="1"/>
  <c r="E323" i="1"/>
  <c r="F323" i="1" s="1"/>
  <c r="D325" i="1" l="1"/>
  <c r="E324" i="1"/>
  <c r="F324" i="1" s="1"/>
  <c r="D326" i="1" l="1"/>
  <c r="E325" i="1"/>
  <c r="F325" i="1" s="1"/>
  <c r="D327" i="1" l="1"/>
  <c r="E326" i="1"/>
  <c r="F326" i="1" s="1"/>
  <c r="D328" i="1" l="1"/>
  <c r="E327" i="1"/>
  <c r="F327" i="1" s="1"/>
  <c r="D329" i="1" l="1"/>
  <c r="E328" i="1"/>
  <c r="F328" i="1" s="1"/>
  <c r="D330" i="1" l="1"/>
  <c r="E329" i="1"/>
  <c r="F329" i="1" s="1"/>
  <c r="D331" i="1" l="1"/>
  <c r="E330" i="1"/>
  <c r="F330" i="1" s="1"/>
  <c r="D332" i="1" l="1"/>
  <c r="E331" i="1"/>
  <c r="F331" i="1" s="1"/>
  <c r="D333" i="1" l="1"/>
  <c r="E332" i="1"/>
  <c r="F332" i="1" s="1"/>
  <c r="D334" i="1" l="1"/>
  <c r="E333" i="1"/>
  <c r="F333" i="1" s="1"/>
  <c r="D335" i="1" l="1"/>
  <c r="E334" i="1"/>
  <c r="F334" i="1" s="1"/>
  <c r="D336" i="1" l="1"/>
  <c r="E335" i="1"/>
  <c r="F335" i="1" s="1"/>
  <c r="D337" i="1" l="1"/>
  <c r="E336" i="1"/>
  <c r="F336" i="1" s="1"/>
  <c r="D338" i="1" l="1"/>
  <c r="E337" i="1"/>
  <c r="F337" i="1" s="1"/>
  <c r="D339" i="1" l="1"/>
  <c r="E338" i="1"/>
  <c r="F338" i="1" s="1"/>
  <c r="D340" i="1" l="1"/>
  <c r="E339" i="1"/>
  <c r="F339" i="1" s="1"/>
  <c r="D341" i="1" l="1"/>
  <c r="E340" i="1"/>
  <c r="F340" i="1" s="1"/>
  <c r="D342" i="1" l="1"/>
  <c r="E341" i="1"/>
  <c r="F341" i="1" s="1"/>
  <c r="D343" i="1" l="1"/>
  <c r="E342" i="1"/>
  <c r="F342" i="1" s="1"/>
  <c r="D344" i="1" l="1"/>
  <c r="E343" i="1"/>
  <c r="F343" i="1" s="1"/>
  <c r="D345" i="1" l="1"/>
  <c r="E344" i="1"/>
  <c r="F344" i="1" s="1"/>
  <c r="D346" i="1" l="1"/>
  <c r="E345" i="1"/>
  <c r="F345" i="1" s="1"/>
  <c r="D347" i="1" l="1"/>
  <c r="E346" i="1"/>
  <c r="F346" i="1" s="1"/>
  <c r="D348" i="1" l="1"/>
  <c r="E347" i="1"/>
  <c r="F347" i="1" s="1"/>
  <c r="D349" i="1" l="1"/>
  <c r="E348" i="1"/>
  <c r="F348" i="1" s="1"/>
  <c r="D350" i="1" l="1"/>
  <c r="E349" i="1"/>
  <c r="F349" i="1" s="1"/>
  <c r="D351" i="1" l="1"/>
  <c r="E350" i="1"/>
  <c r="F350" i="1" s="1"/>
  <c r="D352" i="1" l="1"/>
  <c r="E351" i="1"/>
  <c r="F351" i="1" s="1"/>
  <c r="D353" i="1" l="1"/>
  <c r="E352" i="1"/>
  <c r="F352" i="1" s="1"/>
  <c r="D354" i="1" l="1"/>
  <c r="E353" i="1"/>
  <c r="F353" i="1" s="1"/>
  <c r="D355" i="1" l="1"/>
  <c r="E354" i="1"/>
  <c r="F354" i="1" s="1"/>
  <c r="D356" i="1" l="1"/>
  <c r="E355" i="1"/>
  <c r="F355" i="1" s="1"/>
  <c r="D357" i="1" l="1"/>
  <c r="E356" i="1"/>
  <c r="F356" i="1" s="1"/>
  <c r="D358" i="1" l="1"/>
  <c r="E357" i="1"/>
  <c r="F357" i="1" s="1"/>
  <c r="D359" i="1" l="1"/>
  <c r="E358" i="1"/>
  <c r="F358" i="1" s="1"/>
  <c r="D360" i="1" l="1"/>
  <c r="E359" i="1"/>
  <c r="F359" i="1" s="1"/>
  <c r="D361" i="1" l="1"/>
  <c r="E360" i="1"/>
  <c r="F360" i="1" s="1"/>
  <c r="D362" i="1" l="1"/>
  <c r="E361" i="1"/>
  <c r="F361" i="1" s="1"/>
  <c r="D363" i="1" l="1"/>
  <c r="E362" i="1"/>
  <c r="F362" i="1" s="1"/>
  <c r="D364" i="1" l="1"/>
  <c r="E363" i="1"/>
  <c r="F363" i="1" s="1"/>
  <c r="D365" i="1" l="1"/>
  <c r="E364" i="1"/>
  <c r="F364" i="1" s="1"/>
  <c r="D366" i="1" l="1"/>
  <c r="E365" i="1"/>
  <c r="F365" i="1" s="1"/>
  <c r="D367" i="1" l="1"/>
  <c r="E366" i="1"/>
  <c r="F366" i="1" s="1"/>
  <c r="D368" i="1" l="1"/>
  <c r="E367" i="1"/>
  <c r="F367" i="1" s="1"/>
  <c r="D369" i="1" l="1"/>
  <c r="E368" i="1"/>
  <c r="F368" i="1" s="1"/>
  <c r="D370" i="1" l="1"/>
  <c r="E369" i="1"/>
  <c r="F369" i="1" s="1"/>
  <c r="D371" i="1" l="1"/>
  <c r="E370" i="1"/>
  <c r="F370" i="1" s="1"/>
  <c r="E371" i="1" l="1"/>
  <c r="F371" i="1" s="1"/>
  <c r="D372" i="1"/>
  <c r="E372" i="1" l="1"/>
  <c r="F372" i="1" s="1"/>
  <c r="D373" i="1"/>
  <c r="E373" i="1" l="1"/>
  <c r="F373" i="1" s="1"/>
  <c r="D374" i="1"/>
  <c r="D375" i="1" l="1"/>
  <c r="E374" i="1"/>
  <c r="F374" i="1" s="1"/>
  <c r="D376" i="1" l="1"/>
  <c r="E375" i="1"/>
  <c r="F375" i="1" s="1"/>
  <c r="D377" i="1" l="1"/>
  <c r="E376" i="1"/>
  <c r="F376" i="1" s="1"/>
  <c r="D378" i="1" l="1"/>
  <c r="E377" i="1"/>
  <c r="F377" i="1" s="1"/>
  <c r="E378" i="1" l="1"/>
  <c r="F378" i="1" s="1"/>
  <c r="D379" i="1"/>
  <c r="E379" i="1" l="1"/>
  <c r="F379" i="1" s="1"/>
  <c r="D380" i="1"/>
  <c r="E380" i="1" l="1"/>
  <c r="F380" i="1" s="1"/>
  <c r="D381" i="1"/>
  <c r="E381" i="1" l="1"/>
  <c r="F381" i="1" s="1"/>
  <c r="D382" i="1"/>
  <c r="D383" i="1" l="1"/>
  <c r="E382" i="1"/>
  <c r="F382" i="1" s="1"/>
  <c r="D384" i="1" l="1"/>
  <c r="E383" i="1"/>
  <c r="F383" i="1" s="1"/>
  <c r="D385" i="1" l="1"/>
  <c r="E384" i="1"/>
  <c r="F384" i="1" s="1"/>
  <c r="D386" i="1" l="1"/>
  <c r="E385" i="1"/>
  <c r="F385" i="1" s="1"/>
  <c r="D387" i="1" l="1"/>
  <c r="E386" i="1"/>
  <c r="F386" i="1" s="1"/>
  <c r="E387" i="1" l="1"/>
  <c r="F387" i="1" s="1"/>
  <c r="D388" i="1"/>
  <c r="E388" i="1" l="1"/>
  <c r="F388" i="1" s="1"/>
  <c r="D389" i="1"/>
  <c r="E389" i="1" l="1"/>
  <c r="F389" i="1" s="1"/>
  <c r="D390" i="1"/>
  <c r="D391" i="1" l="1"/>
  <c r="E390" i="1"/>
  <c r="F390" i="1" s="1"/>
  <c r="D392" i="1" l="1"/>
  <c r="E391" i="1"/>
  <c r="F391" i="1" s="1"/>
  <c r="D393" i="1" l="1"/>
  <c r="E392" i="1"/>
  <c r="F392" i="1" s="1"/>
  <c r="D394" i="1" l="1"/>
  <c r="E393" i="1"/>
  <c r="F393" i="1" s="1"/>
  <c r="E394" i="1" l="1"/>
  <c r="F394" i="1" s="1"/>
  <c r="D395" i="1"/>
  <c r="E395" i="1" l="1"/>
  <c r="F395" i="1" s="1"/>
  <c r="D396" i="1"/>
  <c r="E396" i="1" l="1"/>
  <c r="F396" i="1" s="1"/>
  <c r="D397" i="1"/>
  <c r="D398" i="1" l="1"/>
  <c r="E397" i="1"/>
  <c r="F397" i="1" s="1"/>
  <c r="D399" i="1" l="1"/>
  <c r="E398" i="1"/>
  <c r="F398" i="1" s="1"/>
  <c r="D400" i="1" l="1"/>
  <c r="E399" i="1"/>
  <c r="F399" i="1" s="1"/>
  <c r="D401" i="1" l="1"/>
  <c r="E400" i="1"/>
  <c r="F400" i="1" s="1"/>
  <c r="D402" i="1" l="1"/>
  <c r="E401" i="1"/>
  <c r="F401" i="1" s="1"/>
  <c r="D403" i="1" l="1"/>
  <c r="E402" i="1"/>
  <c r="F402" i="1" s="1"/>
  <c r="E403" i="1" l="1"/>
  <c r="F403" i="1" s="1"/>
  <c r="D404" i="1"/>
  <c r="E404" i="1" l="1"/>
  <c r="F404" i="1" s="1"/>
  <c r="D405" i="1"/>
  <c r="E405" i="1" l="1"/>
  <c r="F405" i="1" s="1"/>
  <c r="D406" i="1"/>
  <c r="D407" i="1" l="1"/>
  <c r="E406" i="1"/>
  <c r="F406" i="1" s="1"/>
  <c r="D408" i="1" l="1"/>
  <c r="E407" i="1"/>
  <c r="F407" i="1" s="1"/>
  <c r="D409" i="1" l="1"/>
  <c r="E408" i="1"/>
  <c r="F408" i="1" s="1"/>
  <c r="D410" i="1" l="1"/>
  <c r="E409" i="1"/>
  <c r="F409" i="1" s="1"/>
  <c r="E410" i="1" l="1"/>
  <c r="F410" i="1" s="1"/>
  <c r="D411" i="1"/>
  <c r="E411" i="1" l="1"/>
  <c r="F411" i="1" s="1"/>
  <c r="D412" i="1"/>
  <c r="E412" i="1" l="1"/>
  <c r="F412" i="1" s="1"/>
  <c r="D413" i="1"/>
  <c r="E413" i="1" l="1"/>
  <c r="F413" i="1" s="1"/>
  <c r="D414" i="1"/>
  <c r="D415" i="1" l="1"/>
  <c r="E414" i="1"/>
  <c r="F414" i="1" s="1"/>
  <c r="D416" i="1" l="1"/>
  <c r="E415" i="1"/>
  <c r="F415" i="1" s="1"/>
  <c r="D417" i="1" l="1"/>
  <c r="E416" i="1"/>
  <c r="F416" i="1" s="1"/>
  <c r="D418" i="1" l="1"/>
  <c r="E417" i="1"/>
  <c r="F417" i="1" s="1"/>
  <c r="D419" i="1" l="1"/>
  <c r="E418" i="1"/>
  <c r="F418" i="1" s="1"/>
  <c r="E419" i="1" l="1"/>
  <c r="F419" i="1" s="1"/>
  <c r="D420" i="1"/>
  <c r="E420" i="1" l="1"/>
  <c r="F420" i="1" s="1"/>
  <c r="D421" i="1"/>
  <c r="E421" i="1" l="1"/>
  <c r="F421" i="1" s="1"/>
  <c r="D422" i="1"/>
  <c r="D423" i="1" l="1"/>
  <c r="E422" i="1"/>
  <c r="F422" i="1" s="1"/>
  <c r="D424" i="1" l="1"/>
  <c r="E423" i="1"/>
  <c r="F423" i="1" s="1"/>
  <c r="D425" i="1" l="1"/>
  <c r="E424" i="1"/>
  <c r="F424" i="1" s="1"/>
  <c r="D426" i="1" l="1"/>
  <c r="E425" i="1"/>
  <c r="F425" i="1" s="1"/>
  <c r="E426" i="1" l="1"/>
  <c r="F426" i="1" s="1"/>
  <c r="D427" i="1"/>
  <c r="E427" i="1" l="1"/>
  <c r="F427" i="1" s="1"/>
  <c r="D428" i="1"/>
  <c r="E428" i="1" l="1"/>
  <c r="F428" i="1" s="1"/>
  <c r="D429" i="1"/>
  <c r="E429" i="1" l="1"/>
  <c r="F429" i="1" s="1"/>
  <c r="D430" i="1"/>
  <c r="D431" i="1" l="1"/>
  <c r="E430" i="1"/>
  <c r="F430" i="1" s="1"/>
  <c r="D432" i="1" l="1"/>
  <c r="E431" i="1"/>
  <c r="F431" i="1" s="1"/>
  <c r="D433" i="1" l="1"/>
  <c r="E432" i="1"/>
  <c r="F432" i="1" s="1"/>
  <c r="D434" i="1" l="1"/>
  <c r="E433" i="1"/>
  <c r="F433" i="1" s="1"/>
  <c r="D435" i="1" l="1"/>
  <c r="E434" i="1"/>
  <c r="F434" i="1" s="1"/>
  <c r="E435" i="1" l="1"/>
  <c r="F435" i="1" s="1"/>
  <c r="D436" i="1"/>
  <c r="E436" i="1" l="1"/>
  <c r="F436" i="1" s="1"/>
  <c r="D437" i="1"/>
  <c r="E437" i="1" l="1"/>
  <c r="F437" i="1" s="1"/>
  <c r="D438" i="1"/>
  <c r="D439" i="1" l="1"/>
  <c r="E438" i="1"/>
  <c r="F438" i="1" s="1"/>
  <c r="D440" i="1" l="1"/>
  <c r="E439" i="1"/>
  <c r="F439" i="1" s="1"/>
  <c r="D441" i="1" l="1"/>
  <c r="E440" i="1"/>
  <c r="F440" i="1" s="1"/>
  <c r="D442" i="1" l="1"/>
  <c r="E441" i="1"/>
  <c r="F441" i="1" s="1"/>
  <c r="E442" i="1" l="1"/>
  <c r="F442" i="1" s="1"/>
  <c r="D443" i="1"/>
  <c r="E443" i="1" l="1"/>
  <c r="F443" i="1" s="1"/>
  <c r="D444" i="1"/>
  <c r="D445" i="1" l="1"/>
  <c r="E444" i="1"/>
  <c r="F444" i="1" s="1"/>
  <c r="D446" i="1" l="1"/>
  <c r="E445" i="1"/>
  <c r="F445" i="1" s="1"/>
  <c r="D447" i="1" l="1"/>
  <c r="E446" i="1"/>
  <c r="F446" i="1" s="1"/>
  <c r="E447" i="1" l="1"/>
  <c r="F447" i="1" s="1"/>
  <c r="D448" i="1"/>
  <c r="E448" i="1" l="1"/>
  <c r="F448" i="1" s="1"/>
  <c r="D449" i="1"/>
  <c r="D450" i="1" l="1"/>
  <c r="E449" i="1"/>
  <c r="F449" i="1" s="1"/>
  <c r="E450" i="1" l="1"/>
  <c r="F450" i="1" s="1"/>
  <c r="D451" i="1"/>
  <c r="E451" i="1" l="1"/>
  <c r="F451" i="1" s="1"/>
  <c r="D452" i="1"/>
  <c r="D453" i="1" l="1"/>
  <c r="E452" i="1"/>
  <c r="F452" i="1" s="1"/>
  <c r="D454" i="1" l="1"/>
  <c r="E453" i="1"/>
  <c r="F453" i="1" s="1"/>
  <c r="D455" i="1" l="1"/>
  <c r="E454" i="1"/>
  <c r="F454" i="1" s="1"/>
  <c r="D456" i="1" l="1"/>
  <c r="E455" i="1"/>
  <c r="F455" i="1" s="1"/>
  <c r="D457" i="1" l="1"/>
  <c r="E456" i="1"/>
  <c r="F456" i="1" s="1"/>
  <c r="D458" i="1" l="1"/>
  <c r="E457" i="1"/>
  <c r="F457" i="1" s="1"/>
  <c r="E458" i="1" l="1"/>
  <c r="F458" i="1" s="1"/>
  <c r="D459" i="1"/>
  <c r="E459" i="1" l="1"/>
  <c r="F459" i="1" s="1"/>
  <c r="D460" i="1"/>
  <c r="E460" i="1" l="1"/>
  <c r="F460" i="1" s="1"/>
  <c r="D461" i="1"/>
  <c r="D462" i="1" l="1"/>
  <c r="E461" i="1"/>
  <c r="F461" i="1" s="1"/>
  <c r="D463" i="1" l="1"/>
  <c r="E462" i="1"/>
  <c r="F462" i="1" s="1"/>
  <c r="E463" i="1" l="1"/>
  <c r="F463" i="1" s="1"/>
  <c r="D464" i="1"/>
  <c r="D465" i="1" l="1"/>
  <c r="E464" i="1"/>
  <c r="F464" i="1" s="1"/>
  <c r="D466" i="1" l="1"/>
  <c r="E465" i="1"/>
  <c r="F465" i="1" s="1"/>
  <c r="E466" i="1" l="1"/>
  <c r="F466" i="1" s="1"/>
  <c r="D467" i="1"/>
  <c r="D468" i="1" l="1"/>
  <c r="E467" i="1"/>
  <c r="F467" i="1" s="1"/>
  <c r="D469" i="1" l="1"/>
  <c r="E468" i="1"/>
  <c r="F468" i="1" s="1"/>
  <c r="D470" i="1" l="1"/>
  <c r="E469" i="1"/>
  <c r="F469" i="1" s="1"/>
  <c r="D471" i="1" l="1"/>
  <c r="E470" i="1"/>
  <c r="F470" i="1" s="1"/>
  <c r="D472" i="1" l="1"/>
  <c r="E471" i="1"/>
  <c r="F471" i="1" s="1"/>
  <c r="E472" i="1" l="1"/>
  <c r="F472" i="1" s="1"/>
  <c r="D473" i="1"/>
  <c r="D474" i="1" l="1"/>
  <c r="E473" i="1"/>
  <c r="F473" i="1" s="1"/>
  <c r="E474" i="1" l="1"/>
  <c r="F474" i="1" s="1"/>
  <c r="D475" i="1"/>
  <c r="E475" i="1" l="1"/>
  <c r="F475" i="1" s="1"/>
  <c r="D476" i="1"/>
  <c r="E476" i="1" l="1"/>
  <c r="F476" i="1" s="1"/>
  <c r="D477" i="1"/>
  <c r="D478" i="1" l="1"/>
  <c r="E477" i="1"/>
  <c r="F477" i="1" s="1"/>
  <c r="E478" i="1" l="1"/>
  <c r="F478" i="1" s="1"/>
  <c r="D479" i="1"/>
  <c r="D480" i="1" l="1"/>
  <c r="E479" i="1"/>
  <c r="F479" i="1" s="1"/>
  <c r="E480" i="1" l="1"/>
  <c r="F480" i="1" s="1"/>
  <c r="D481" i="1"/>
  <c r="D482" i="1" l="1"/>
  <c r="E481" i="1"/>
  <c r="F481" i="1" s="1"/>
  <c r="E482" i="1" l="1"/>
  <c r="F482" i="1" s="1"/>
  <c r="D483" i="1"/>
  <c r="D484" i="1" l="1"/>
  <c r="E483" i="1"/>
  <c r="F483" i="1" s="1"/>
  <c r="E484" i="1" l="1"/>
  <c r="F484" i="1" s="1"/>
  <c r="D485" i="1"/>
  <c r="D486" i="1" l="1"/>
  <c r="E485" i="1"/>
  <c r="F485" i="1" s="1"/>
  <c r="E486" i="1" l="1"/>
  <c r="F486" i="1" s="1"/>
  <c r="D487" i="1"/>
  <c r="D488" i="1" l="1"/>
  <c r="E487" i="1"/>
  <c r="F487" i="1" s="1"/>
  <c r="E488" i="1" l="1"/>
  <c r="F488" i="1" s="1"/>
  <c r="D489" i="1"/>
  <c r="D490" i="1" l="1"/>
  <c r="E489" i="1"/>
  <c r="F489" i="1" s="1"/>
  <c r="E490" i="1" l="1"/>
  <c r="F490" i="1" s="1"/>
  <c r="D491" i="1"/>
  <c r="D492" i="1" l="1"/>
  <c r="E491" i="1"/>
  <c r="F491" i="1" s="1"/>
  <c r="E492" i="1" l="1"/>
  <c r="F492" i="1" s="1"/>
  <c r="D493" i="1"/>
  <c r="D494" i="1" l="1"/>
  <c r="E493" i="1"/>
  <c r="F493" i="1" s="1"/>
  <c r="E494" i="1" l="1"/>
  <c r="F494" i="1" s="1"/>
  <c r="D495" i="1"/>
  <c r="D496" i="1" l="1"/>
  <c r="E495" i="1"/>
  <c r="F495" i="1" s="1"/>
  <c r="E496" i="1" l="1"/>
  <c r="F496" i="1" s="1"/>
  <c r="D497" i="1"/>
  <c r="D498" i="1" l="1"/>
  <c r="E497" i="1"/>
  <c r="F497" i="1" s="1"/>
  <c r="E498" i="1" l="1"/>
  <c r="F498" i="1" s="1"/>
  <c r="D499" i="1"/>
  <c r="D500" i="1" l="1"/>
  <c r="E499" i="1"/>
  <c r="F499" i="1" s="1"/>
  <c r="E500" i="1" l="1"/>
  <c r="F500" i="1" s="1"/>
  <c r="D501" i="1"/>
  <c r="D502" i="1" l="1"/>
  <c r="E501" i="1"/>
  <c r="F501" i="1" s="1"/>
  <c r="E502" i="1" l="1"/>
  <c r="F502" i="1" s="1"/>
  <c r="D503" i="1"/>
  <c r="D504" i="1" l="1"/>
  <c r="E503" i="1"/>
  <c r="F503" i="1" s="1"/>
  <c r="E504" i="1" l="1"/>
  <c r="F504" i="1" s="1"/>
  <c r="D505" i="1"/>
  <c r="D506" i="1" l="1"/>
  <c r="E505" i="1"/>
  <c r="F505" i="1" s="1"/>
  <c r="E506" i="1" l="1"/>
  <c r="F506" i="1" s="1"/>
  <c r="D507" i="1"/>
  <c r="E507" i="1" l="1"/>
  <c r="F507" i="1" s="1"/>
  <c r="D508" i="1"/>
  <c r="E508" i="1" l="1"/>
  <c r="F508" i="1" s="1"/>
  <c r="D509" i="1"/>
  <c r="D510" i="1" l="1"/>
  <c r="E509" i="1"/>
  <c r="F509" i="1" s="1"/>
  <c r="E510" i="1" l="1"/>
  <c r="F510" i="1" s="1"/>
  <c r="D511" i="1"/>
  <c r="D512" i="1" l="1"/>
  <c r="E511" i="1"/>
  <c r="F511" i="1" s="1"/>
  <c r="E512" i="1" l="1"/>
  <c r="F512" i="1" s="1"/>
  <c r="D513" i="1"/>
  <c r="E513" i="1" l="1"/>
  <c r="F513" i="1" s="1"/>
  <c r="D514" i="1"/>
  <c r="E514" i="1" l="1"/>
  <c r="F514" i="1" s="1"/>
  <c r="D515" i="1"/>
  <c r="D516" i="1" l="1"/>
  <c r="E515" i="1"/>
  <c r="F515" i="1" s="1"/>
  <c r="E516" i="1" l="1"/>
  <c r="F516" i="1" s="1"/>
  <c r="D517" i="1"/>
  <c r="E517" i="1" l="1"/>
  <c r="F517" i="1" s="1"/>
  <c r="D518" i="1"/>
  <c r="E518" i="1" l="1"/>
  <c r="F518" i="1" s="1"/>
  <c r="D519" i="1"/>
  <c r="D520" i="1" l="1"/>
  <c r="E519" i="1"/>
  <c r="F519" i="1" s="1"/>
  <c r="E520" i="1" l="1"/>
  <c r="F520" i="1" s="1"/>
  <c r="D521" i="1"/>
  <c r="D522" i="1" l="1"/>
  <c r="E521" i="1"/>
  <c r="F521" i="1" s="1"/>
  <c r="E522" i="1" l="1"/>
  <c r="F522" i="1" s="1"/>
  <c r="D523" i="1"/>
  <c r="D524" i="1" l="1"/>
  <c r="E523" i="1"/>
  <c r="F523" i="1" s="1"/>
  <c r="E524" i="1" l="1"/>
  <c r="F524" i="1" s="1"/>
  <c r="D525" i="1"/>
  <c r="D526" i="1" l="1"/>
  <c r="E525" i="1"/>
  <c r="F525" i="1" s="1"/>
  <c r="E526" i="1" l="1"/>
  <c r="F526" i="1" s="1"/>
  <c r="D527" i="1"/>
  <c r="D528" i="1" l="1"/>
  <c r="E527" i="1"/>
  <c r="F527" i="1" s="1"/>
  <c r="E528" i="1" l="1"/>
  <c r="F528" i="1" s="1"/>
  <c r="D529" i="1"/>
  <c r="D530" i="1" l="1"/>
  <c r="E529" i="1"/>
  <c r="F529" i="1" s="1"/>
  <c r="E530" i="1" l="1"/>
  <c r="F530" i="1" s="1"/>
  <c r="D531" i="1"/>
  <c r="E531" i="1" l="1"/>
  <c r="F531" i="1" s="1"/>
  <c r="D532" i="1"/>
  <c r="E532" i="1" l="1"/>
  <c r="F532" i="1" s="1"/>
  <c r="D533" i="1"/>
  <c r="D534" i="1" l="1"/>
  <c r="E533" i="1"/>
  <c r="F533" i="1" s="1"/>
  <c r="E534" i="1" l="1"/>
  <c r="F534" i="1" s="1"/>
  <c r="D535" i="1"/>
  <c r="D536" i="1" l="1"/>
  <c r="E535" i="1"/>
  <c r="F535" i="1" s="1"/>
  <c r="E536" i="1" l="1"/>
  <c r="F536" i="1" s="1"/>
  <c r="D537" i="1"/>
  <c r="D538" i="1" l="1"/>
  <c r="E537" i="1"/>
  <c r="F537" i="1" s="1"/>
  <c r="E538" i="1" l="1"/>
  <c r="F538" i="1" s="1"/>
  <c r="D539" i="1"/>
  <c r="D540" i="1" l="1"/>
  <c r="E539" i="1"/>
  <c r="F539" i="1" s="1"/>
  <c r="E540" i="1" l="1"/>
  <c r="F540" i="1" s="1"/>
  <c r="D541" i="1"/>
  <c r="D542" i="1" l="1"/>
  <c r="E541" i="1"/>
  <c r="F541" i="1" s="1"/>
  <c r="E542" i="1" l="1"/>
  <c r="F542" i="1" s="1"/>
  <c r="D543" i="1"/>
  <c r="D544" i="1" l="1"/>
  <c r="E543" i="1"/>
  <c r="F543" i="1" s="1"/>
  <c r="E544" i="1" l="1"/>
  <c r="F544" i="1" s="1"/>
  <c r="D545" i="1"/>
  <c r="D546" i="1" l="1"/>
  <c r="E545" i="1"/>
  <c r="F545" i="1" s="1"/>
  <c r="E546" i="1" l="1"/>
  <c r="F546" i="1" s="1"/>
  <c r="D547" i="1"/>
  <c r="D548" i="1" l="1"/>
  <c r="E547" i="1"/>
  <c r="F547" i="1" s="1"/>
  <c r="E548" i="1" l="1"/>
  <c r="F548" i="1" s="1"/>
  <c r="D549" i="1"/>
  <c r="D550" i="1" l="1"/>
  <c r="E549" i="1"/>
  <c r="F549" i="1" s="1"/>
  <c r="E550" i="1" l="1"/>
  <c r="F550" i="1" s="1"/>
  <c r="D551" i="1"/>
  <c r="D552" i="1" l="1"/>
  <c r="E551" i="1"/>
  <c r="F551" i="1" s="1"/>
  <c r="E552" i="1" l="1"/>
  <c r="F552" i="1" s="1"/>
  <c r="D553" i="1"/>
  <c r="D554" i="1" l="1"/>
  <c r="E553" i="1"/>
  <c r="F553" i="1" s="1"/>
  <c r="E554" i="1" l="1"/>
  <c r="F554" i="1" s="1"/>
  <c r="D555" i="1"/>
  <c r="D556" i="1" l="1"/>
  <c r="E555" i="1"/>
  <c r="F555" i="1" s="1"/>
  <c r="E556" i="1" l="1"/>
  <c r="F556" i="1" s="1"/>
  <c r="D557" i="1"/>
  <c r="D558" i="1" l="1"/>
  <c r="E557" i="1"/>
  <c r="F557" i="1" s="1"/>
  <c r="E558" i="1" l="1"/>
  <c r="F558" i="1" s="1"/>
  <c r="D559" i="1"/>
  <c r="D560" i="1" l="1"/>
  <c r="E559" i="1"/>
  <c r="F559" i="1" s="1"/>
  <c r="E560" i="1" l="1"/>
  <c r="F560" i="1" s="1"/>
  <c r="D561" i="1"/>
  <c r="D562" i="1" l="1"/>
  <c r="E561" i="1"/>
  <c r="F561" i="1" s="1"/>
  <c r="E562" i="1" l="1"/>
  <c r="F562" i="1" s="1"/>
  <c r="D563" i="1"/>
  <c r="D564" i="1" l="1"/>
  <c r="E563" i="1"/>
  <c r="F563" i="1" s="1"/>
  <c r="E564" i="1" l="1"/>
  <c r="F564" i="1" s="1"/>
  <c r="D565" i="1"/>
  <c r="D566" i="1" l="1"/>
  <c r="E565" i="1"/>
  <c r="F565" i="1" s="1"/>
  <c r="E566" i="1" l="1"/>
  <c r="F566" i="1" s="1"/>
  <c r="D567" i="1"/>
  <c r="D568" i="1" l="1"/>
  <c r="E567" i="1"/>
  <c r="F567" i="1" s="1"/>
  <c r="E568" i="1" l="1"/>
  <c r="F568" i="1" s="1"/>
  <c r="D569" i="1"/>
  <c r="D570" i="1" l="1"/>
  <c r="E569" i="1"/>
  <c r="F569" i="1" s="1"/>
  <c r="E570" i="1" l="1"/>
  <c r="F570" i="1" s="1"/>
  <c r="D571" i="1"/>
  <c r="D572" i="1" l="1"/>
  <c r="E571" i="1"/>
  <c r="F571" i="1" s="1"/>
  <c r="E572" i="1" l="1"/>
  <c r="F572" i="1" s="1"/>
  <c r="D573" i="1"/>
  <c r="D574" i="1" l="1"/>
  <c r="E573" i="1"/>
  <c r="F573" i="1" s="1"/>
  <c r="E574" i="1" l="1"/>
  <c r="F574" i="1" s="1"/>
  <c r="D575" i="1"/>
  <c r="D576" i="1" l="1"/>
  <c r="E575" i="1"/>
  <c r="F575" i="1" s="1"/>
  <c r="E576" i="1" l="1"/>
  <c r="F576" i="1" s="1"/>
  <c r="D577" i="1"/>
  <c r="E577" i="1" l="1"/>
  <c r="F577" i="1" s="1"/>
  <c r="D578" i="1"/>
  <c r="E578" i="1" l="1"/>
  <c r="F578" i="1" s="1"/>
  <c r="D579" i="1"/>
  <c r="D580" i="1" l="1"/>
  <c r="E579" i="1"/>
  <c r="F579" i="1" s="1"/>
  <c r="E580" i="1" l="1"/>
  <c r="F580" i="1" s="1"/>
  <c r="D581" i="1"/>
  <c r="D582" i="1" l="1"/>
  <c r="E581" i="1"/>
  <c r="F581" i="1" s="1"/>
  <c r="E582" i="1" l="1"/>
  <c r="F582" i="1" s="1"/>
  <c r="D583" i="1"/>
  <c r="D584" i="1" l="1"/>
  <c r="E583" i="1"/>
  <c r="F583" i="1" s="1"/>
  <c r="E584" i="1" l="1"/>
  <c r="F584" i="1" s="1"/>
  <c r="D585" i="1"/>
  <c r="D586" i="1" l="1"/>
  <c r="E585" i="1"/>
  <c r="F585" i="1" s="1"/>
  <c r="E586" i="1" l="1"/>
  <c r="F586" i="1" s="1"/>
  <c r="D587" i="1"/>
  <c r="D588" i="1" l="1"/>
  <c r="E587" i="1"/>
  <c r="F587" i="1" s="1"/>
  <c r="E588" i="1" l="1"/>
  <c r="F588" i="1" s="1"/>
  <c r="D589" i="1"/>
  <c r="D590" i="1" l="1"/>
  <c r="E589" i="1"/>
  <c r="F589" i="1" s="1"/>
  <c r="E590" i="1" l="1"/>
  <c r="F590" i="1" s="1"/>
  <c r="D591" i="1"/>
  <c r="D592" i="1" l="1"/>
  <c r="E591" i="1"/>
  <c r="F591" i="1" s="1"/>
  <c r="E592" i="1" l="1"/>
  <c r="F592" i="1" s="1"/>
  <c r="D593" i="1"/>
  <c r="D594" i="1" l="1"/>
  <c r="E593" i="1"/>
  <c r="F593" i="1" s="1"/>
  <c r="E594" i="1" l="1"/>
  <c r="F594" i="1" s="1"/>
  <c r="D595" i="1"/>
  <c r="D596" i="1" l="1"/>
  <c r="E595" i="1"/>
  <c r="F595" i="1" s="1"/>
  <c r="E596" i="1" l="1"/>
  <c r="F596" i="1" s="1"/>
  <c r="D597" i="1"/>
  <c r="D598" i="1" l="1"/>
  <c r="E597" i="1"/>
  <c r="F597" i="1" s="1"/>
  <c r="E598" i="1" l="1"/>
  <c r="F598" i="1" s="1"/>
  <c r="D599" i="1"/>
  <c r="D600" i="1" l="1"/>
  <c r="E599" i="1"/>
  <c r="F599" i="1" s="1"/>
  <c r="E600" i="1" l="1"/>
  <c r="F600" i="1" s="1"/>
  <c r="D601" i="1"/>
  <c r="D602" i="1" l="1"/>
  <c r="E601" i="1"/>
  <c r="F601" i="1" s="1"/>
  <c r="E602" i="1" l="1"/>
  <c r="F602" i="1" s="1"/>
  <c r="D603" i="1"/>
  <c r="D604" i="1" l="1"/>
  <c r="E603" i="1"/>
  <c r="F603" i="1" s="1"/>
  <c r="E604" i="1" l="1"/>
  <c r="F604" i="1" s="1"/>
  <c r="D605" i="1"/>
  <c r="D606" i="1" l="1"/>
  <c r="E605" i="1"/>
  <c r="F605" i="1" s="1"/>
  <c r="E606" i="1" l="1"/>
  <c r="F606" i="1" s="1"/>
  <c r="D607" i="1"/>
  <c r="D608" i="1" l="1"/>
  <c r="E607" i="1"/>
  <c r="F607" i="1" s="1"/>
  <c r="E608" i="1" l="1"/>
  <c r="F608" i="1" s="1"/>
  <c r="D609" i="1"/>
  <c r="D610" i="1" l="1"/>
  <c r="E609" i="1"/>
  <c r="F609" i="1" s="1"/>
  <c r="E610" i="1" l="1"/>
  <c r="F610" i="1" s="1"/>
  <c r="D611" i="1"/>
  <c r="D612" i="1" l="1"/>
  <c r="E611" i="1"/>
  <c r="F611" i="1" s="1"/>
  <c r="D613" i="1" l="1"/>
  <c r="E612" i="1"/>
  <c r="F612" i="1" s="1"/>
  <c r="D614" i="1" l="1"/>
  <c r="E613" i="1"/>
  <c r="F613" i="1" s="1"/>
  <c r="D615" i="1" l="1"/>
  <c r="E614" i="1"/>
  <c r="F614" i="1" s="1"/>
  <c r="E615" i="1" l="1"/>
  <c r="F615" i="1" s="1"/>
  <c r="D616" i="1"/>
  <c r="D617" i="1" l="1"/>
  <c r="E616" i="1"/>
  <c r="F616" i="1" s="1"/>
  <c r="E617" i="1" l="1"/>
  <c r="F617" i="1" s="1"/>
  <c r="D618" i="1"/>
  <c r="D619" i="1" l="1"/>
  <c r="E618" i="1"/>
  <c r="F618" i="1" s="1"/>
  <c r="D620" i="1" l="1"/>
  <c r="E619" i="1"/>
  <c r="F619" i="1" s="1"/>
  <c r="D621" i="1" l="1"/>
  <c r="E620" i="1"/>
  <c r="F620" i="1" s="1"/>
  <c r="D622" i="1" l="1"/>
  <c r="E621" i="1"/>
  <c r="F621" i="1" s="1"/>
  <c r="E622" i="1" l="1"/>
  <c r="F622" i="1" s="1"/>
  <c r="D623" i="1"/>
  <c r="D624" i="1" l="1"/>
  <c r="E623" i="1"/>
  <c r="F623" i="1" s="1"/>
  <c r="E624" i="1" l="1"/>
  <c r="F624" i="1" s="1"/>
  <c r="D625" i="1"/>
  <c r="D626" i="1" l="1"/>
  <c r="E625" i="1"/>
  <c r="F625" i="1" s="1"/>
  <c r="E626" i="1" l="1"/>
  <c r="F626" i="1" s="1"/>
  <c r="D627" i="1"/>
  <c r="D628" i="1" l="1"/>
  <c r="E627" i="1"/>
  <c r="F627" i="1" s="1"/>
  <c r="D629" i="1" l="1"/>
  <c r="E628" i="1"/>
  <c r="F628" i="1" s="1"/>
  <c r="D630" i="1" l="1"/>
  <c r="E629" i="1"/>
  <c r="F629" i="1" s="1"/>
  <c r="D631" i="1" l="1"/>
  <c r="E630" i="1"/>
  <c r="F630" i="1" s="1"/>
  <c r="E631" i="1" l="1"/>
  <c r="F631" i="1" s="1"/>
  <c r="D632" i="1"/>
  <c r="D633" i="1" l="1"/>
  <c r="E632" i="1"/>
  <c r="F632" i="1" s="1"/>
  <c r="E633" i="1" l="1"/>
  <c r="F633" i="1" s="1"/>
  <c r="D634" i="1"/>
  <c r="D635" i="1" l="1"/>
  <c r="E634" i="1"/>
  <c r="F634" i="1" s="1"/>
  <c r="D636" i="1" l="1"/>
  <c r="E635" i="1"/>
  <c r="F635" i="1" s="1"/>
  <c r="D637" i="1" l="1"/>
  <c r="E636" i="1"/>
  <c r="F636" i="1" s="1"/>
  <c r="D638" i="1" l="1"/>
  <c r="E637" i="1"/>
  <c r="F637" i="1" s="1"/>
  <c r="E638" i="1" l="1"/>
  <c r="F638" i="1" s="1"/>
  <c r="D639" i="1"/>
  <c r="D640" i="1" l="1"/>
  <c r="E639" i="1"/>
  <c r="F639" i="1" s="1"/>
  <c r="E640" i="1" l="1"/>
  <c r="F640" i="1" s="1"/>
  <c r="D641" i="1"/>
  <c r="D642" i="1" l="1"/>
  <c r="E641" i="1"/>
  <c r="F641" i="1" s="1"/>
  <c r="E642" i="1" l="1"/>
  <c r="F642" i="1" s="1"/>
  <c r="D643" i="1"/>
  <c r="D644" i="1" l="1"/>
  <c r="E643" i="1"/>
  <c r="F643" i="1" s="1"/>
  <c r="D645" i="1" l="1"/>
  <c r="E644" i="1"/>
  <c r="F644" i="1" s="1"/>
  <c r="E645" i="1" l="1"/>
  <c r="F645" i="1" s="1"/>
  <c r="D646" i="1"/>
  <c r="D647" i="1" l="1"/>
  <c r="E646" i="1"/>
  <c r="F646" i="1" s="1"/>
  <c r="E647" i="1" l="1"/>
  <c r="F647" i="1" s="1"/>
  <c r="D648" i="1"/>
  <c r="D649" i="1" l="1"/>
  <c r="E648" i="1"/>
  <c r="F648" i="1" s="1"/>
  <c r="D650" i="1" l="1"/>
  <c r="E649" i="1"/>
  <c r="F649" i="1" s="1"/>
  <c r="D651" i="1" l="1"/>
  <c r="E650" i="1"/>
  <c r="F650" i="1" s="1"/>
  <c r="D652" i="1" l="1"/>
  <c r="E651" i="1"/>
  <c r="F651" i="1" s="1"/>
  <c r="E652" i="1" l="1"/>
  <c r="F652" i="1" s="1"/>
  <c r="D653" i="1"/>
  <c r="D654" i="1" l="1"/>
  <c r="E653" i="1"/>
  <c r="F653" i="1" s="1"/>
  <c r="E654" i="1" l="1"/>
  <c r="F654" i="1" s="1"/>
  <c r="D655" i="1"/>
  <c r="D656" i="1" l="1"/>
  <c r="E655" i="1"/>
  <c r="F655" i="1" s="1"/>
  <c r="E656" i="1" l="1"/>
  <c r="F656" i="1" s="1"/>
  <c r="D657" i="1"/>
  <c r="D658" i="1" l="1"/>
  <c r="E657" i="1"/>
  <c r="F657" i="1" s="1"/>
  <c r="D659" i="1" l="1"/>
  <c r="E658" i="1"/>
  <c r="F658" i="1" s="1"/>
  <c r="D660" i="1" l="1"/>
  <c r="E659" i="1"/>
  <c r="F659" i="1" s="1"/>
  <c r="D661" i="1" l="1"/>
  <c r="E660" i="1"/>
  <c r="F660" i="1" s="1"/>
  <c r="E661" i="1" l="1"/>
  <c r="F661" i="1" s="1"/>
  <c r="D662" i="1"/>
  <c r="D663" i="1" l="1"/>
  <c r="E662" i="1"/>
  <c r="F662" i="1" s="1"/>
  <c r="E663" i="1" l="1"/>
  <c r="F663" i="1" s="1"/>
  <c r="D664" i="1"/>
  <c r="D665" i="1" l="1"/>
  <c r="E664" i="1"/>
  <c r="F664" i="1" s="1"/>
  <c r="D666" i="1" l="1"/>
  <c r="E665" i="1"/>
  <c r="F665" i="1" s="1"/>
  <c r="D667" i="1" l="1"/>
  <c r="E666" i="1"/>
  <c r="F666" i="1" s="1"/>
  <c r="D668" i="1" l="1"/>
  <c r="E667" i="1"/>
  <c r="F667" i="1" s="1"/>
  <c r="D669" i="1" l="1"/>
  <c r="E668" i="1"/>
  <c r="F668" i="1" s="1"/>
  <c r="E669" i="1" l="1"/>
  <c r="F669" i="1" s="1"/>
  <c r="D670" i="1"/>
  <c r="D671" i="1" l="1"/>
  <c r="E670" i="1"/>
  <c r="F670" i="1" s="1"/>
  <c r="E671" i="1" l="1"/>
  <c r="F671" i="1" s="1"/>
  <c r="D672" i="1"/>
  <c r="D673" i="1" l="1"/>
  <c r="E672" i="1"/>
  <c r="F672" i="1" s="1"/>
  <c r="E673" i="1" l="1"/>
  <c r="F673" i="1" s="1"/>
  <c r="D674" i="1"/>
  <c r="D675" i="1" l="1"/>
  <c r="E674" i="1"/>
  <c r="F674" i="1" s="1"/>
  <c r="E675" i="1" l="1"/>
  <c r="F675" i="1" s="1"/>
  <c r="D676" i="1"/>
  <c r="D677" i="1" l="1"/>
  <c r="E676" i="1"/>
  <c r="F676" i="1" s="1"/>
  <c r="E677" i="1" l="1"/>
  <c r="F677" i="1" s="1"/>
  <c r="D678" i="1"/>
  <c r="D679" i="1" l="1"/>
  <c r="E678" i="1"/>
  <c r="F678" i="1" s="1"/>
  <c r="E679" i="1" l="1"/>
  <c r="F679" i="1" s="1"/>
  <c r="D680" i="1"/>
  <c r="D681" i="1" l="1"/>
  <c r="E680" i="1"/>
  <c r="F680" i="1" s="1"/>
  <c r="E681" i="1" l="1"/>
  <c r="F681" i="1" s="1"/>
  <c r="D682" i="1"/>
  <c r="D683" i="1" l="1"/>
  <c r="E682" i="1"/>
  <c r="F682" i="1" s="1"/>
  <c r="E683" i="1" l="1"/>
  <c r="F683" i="1" s="1"/>
  <c r="D684" i="1"/>
  <c r="D685" i="1" l="1"/>
  <c r="E684" i="1"/>
  <c r="F684" i="1" s="1"/>
  <c r="E685" i="1" l="1"/>
  <c r="F685" i="1" s="1"/>
  <c r="D686" i="1"/>
  <c r="D687" i="1" l="1"/>
  <c r="E686" i="1"/>
  <c r="F686" i="1" s="1"/>
  <c r="E687" i="1" l="1"/>
  <c r="F687" i="1" s="1"/>
  <c r="D688" i="1"/>
  <c r="D689" i="1" l="1"/>
  <c r="E688" i="1"/>
  <c r="F688" i="1" s="1"/>
  <c r="E689" i="1" l="1"/>
  <c r="F689" i="1" s="1"/>
  <c r="D690" i="1"/>
  <c r="D691" i="1" l="1"/>
  <c r="E690" i="1"/>
  <c r="F690" i="1" s="1"/>
  <c r="E691" i="1" l="1"/>
  <c r="F691" i="1" s="1"/>
  <c r="D692" i="1"/>
  <c r="D693" i="1" l="1"/>
  <c r="E692" i="1"/>
  <c r="F692" i="1" s="1"/>
  <c r="E693" i="1" l="1"/>
  <c r="F693" i="1" s="1"/>
  <c r="D694" i="1"/>
  <c r="D695" i="1" l="1"/>
  <c r="E694" i="1"/>
  <c r="F694" i="1" s="1"/>
  <c r="E695" i="1" l="1"/>
  <c r="F695" i="1" s="1"/>
  <c r="D696" i="1"/>
  <c r="D697" i="1" l="1"/>
  <c r="E696" i="1"/>
  <c r="F696" i="1" s="1"/>
  <c r="E697" i="1" l="1"/>
  <c r="F697" i="1" s="1"/>
  <c r="D698" i="1"/>
  <c r="D699" i="1" l="1"/>
  <c r="E698" i="1"/>
  <c r="F698" i="1" s="1"/>
  <c r="E699" i="1" l="1"/>
  <c r="F699" i="1" s="1"/>
  <c r="D700" i="1"/>
  <c r="D701" i="1" l="1"/>
  <c r="E700" i="1"/>
  <c r="F700" i="1" s="1"/>
  <c r="E701" i="1" l="1"/>
  <c r="F701" i="1" s="1"/>
  <c r="D702" i="1"/>
  <c r="D703" i="1" l="1"/>
  <c r="E702" i="1"/>
  <c r="F702" i="1" s="1"/>
  <c r="E703" i="1" l="1"/>
  <c r="F703" i="1" s="1"/>
  <c r="D704" i="1"/>
  <c r="D705" i="1" l="1"/>
  <c r="E704" i="1"/>
  <c r="F704" i="1" s="1"/>
  <c r="E705" i="1" l="1"/>
  <c r="F705" i="1" s="1"/>
  <c r="D706" i="1"/>
  <c r="D707" i="1" l="1"/>
  <c r="E706" i="1"/>
  <c r="F706" i="1" s="1"/>
  <c r="E707" i="1" l="1"/>
  <c r="F707" i="1" s="1"/>
  <c r="D708" i="1"/>
  <c r="D709" i="1" l="1"/>
  <c r="E708" i="1"/>
  <c r="F708" i="1" s="1"/>
  <c r="E709" i="1" l="1"/>
  <c r="F709" i="1" s="1"/>
  <c r="D710" i="1"/>
  <c r="D711" i="1" l="1"/>
  <c r="E710" i="1"/>
  <c r="F710" i="1" s="1"/>
  <c r="E711" i="1" l="1"/>
  <c r="F711" i="1" s="1"/>
  <c r="D712" i="1"/>
  <c r="D713" i="1" l="1"/>
  <c r="E712" i="1"/>
  <c r="F712" i="1" s="1"/>
  <c r="E713" i="1" l="1"/>
  <c r="F713" i="1" s="1"/>
  <c r="D714" i="1"/>
  <c r="D715" i="1" l="1"/>
  <c r="E714" i="1"/>
  <c r="F714" i="1" s="1"/>
  <c r="E715" i="1" l="1"/>
  <c r="F715" i="1" s="1"/>
  <c r="D716" i="1"/>
  <c r="D717" i="1" l="1"/>
  <c r="E716" i="1"/>
  <c r="F716" i="1" s="1"/>
  <c r="D718" i="1" l="1"/>
  <c r="E717" i="1"/>
  <c r="F717" i="1" s="1"/>
  <c r="D719" i="1" l="1"/>
  <c r="E718" i="1"/>
  <c r="F718" i="1" s="1"/>
  <c r="D720" i="1" l="1"/>
  <c r="E719" i="1"/>
  <c r="F719" i="1" s="1"/>
  <c r="E720" i="1" l="1"/>
  <c r="F720" i="1" s="1"/>
  <c r="D721" i="1"/>
  <c r="D722" i="1" l="1"/>
  <c r="E721" i="1"/>
  <c r="F721" i="1" s="1"/>
  <c r="E722" i="1" l="1"/>
  <c r="F722" i="1" s="1"/>
  <c r="D723" i="1"/>
  <c r="D724" i="1" l="1"/>
  <c r="E723" i="1"/>
  <c r="F723" i="1" s="1"/>
  <c r="E724" i="1" l="1"/>
  <c r="F724" i="1" s="1"/>
  <c r="D725" i="1"/>
  <c r="D726" i="1" l="1"/>
  <c r="E725" i="1"/>
  <c r="F725" i="1" s="1"/>
  <c r="D727" i="1" l="1"/>
  <c r="E726" i="1"/>
  <c r="F726" i="1" s="1"/>
  <c r="D728" i="1" l="1"/>
  <c r="E727" i="1"/>
  <c r="F727" i="1" s="1"/>
  <c r="D729" i="1" l="1"/>
  <c r="E728" i="1"/>
  <c r="F728" i="1" s="1"/>
  <c r="D730" i="1" l="1"/>
  <c r="E729" i="1"/>
  <c r="F729" i="1" s="1"/>
  <c r="D731" i="1" l="1"/>
  <c r="E730" i="1"/>
  <c r="F730" i="1" s="1"/>
  <c r="D732" i="1" l="1"/>
  <c r="E731" i="1"/>
  <c r="F731" i="1" s="1"/>
  <c r="D733" i="1" l="1"/>
  <c r="E732" i="1"/>
  <c r="F732" i="1" s="1"/>
  <c r="D734" i="1" l="1"/>
  <c r="E733" i="1"/>
  <c r="F733" i="1" s="1"/>
  <c r="D735" i="1" l="1"/>
  <c r="E734" i="1"/>
  <c r="F734" i="1" s="1"/>
  <c r="D736" i="1" l="1"/>
  <c r="E735" i="1"/>
  <c r="F735" i="1" s="1"/>
  <c r="E736" i="1" l="1"/>
  <c r="F736" i="1" s="1"/>
  <c r="D737" i="1"/>
  <c r="D738" i="1" l="1"/>
  <c r="E737" i="1"/>
  <c r="F737" i="1" s="1"/>
  <c r="E738" i="1" l="1"/>
  <c r="F738" i="1" s="1"/>
  <c r="D739" i="1"/>
  <c r="D740" i="1" l="1"/>
  <c r="E739" i="1"/>
  <c r="F739" i="1" s="1"/>
  <c r="E740" i="1" l="1"/>
  <c r="F740" i="1" s="1"/>
  <c r="D741" i="1"/>
  <c r="D742" i="1" l="1"/>
  <c r="E741" i="1"/>
  <c r="F741" i="1" s="1"/>
  <c r="D743" i="1" l="1"/>
  <c r="E742" i="1"/>
  <c r="F742" i="1" s="1"/>
  <c r="D744" i="1" l="1"/>
  <c r="E743" i="1"/>
  <c r="F743" i="1" s="1"/>
  <c r="D745" i="1" l="1"/>
  <c r="E744" i="1"/>
  <c r="F744" i="1" s="1"/>
  <c r="D746" i="1" l="1"/>
  <c r="E745" i="1"/>
  <c r="F745" i="1" s="1"/>
  <c r="D747" i="1" l="1"/>
  <c r="E746" i="1"/>
  <c r="F746" i="1" s="1"/>
  <c r="D748" i="1" l="1"/>
  <c r="E747" i="1"/>
  <c r="F747" i="1" s="1"/>
  <c r="D749" i="1" l="1"/>
  <c r="E748" i="1"/>
  <c r="F748" i="1" s="1"/>
  <c r="D750" i="1" l="1"/>
  <c r="E749" i="1"/>
  <c r="F749" i="1" s="1"/>
  <c r="D751" i="1" l="1"/>
  <c r="E750" i="1"/>
  <c r="F750" i="1" s="1"/>
  <c r="D752" i="1" l="1"/>
  <c r="E751" i="1"/>
  <c r="F751" i="1" s="1"/>
  <c r="E752" i="1" l="1"/>
  <c r="F752" i="1" s="1"/>
  <c r="D753" i="1"/>
  <c r="D754" i="1" l="1"/>
  <c r="E753" i="1"/>
  <c r="F753" i="1" s="1"/>
  <c r="E754" i="1" l="1"/>
  <c r="F754" i="1" s="1"/>
  <c r="D755" i="1"/>
  <c r="D756" i="1" l="1"/>
  <c r="E755" i="1"/>
  <c r="F755" i="1" s="1"/>
  <c r="D757" i="1" l="1"/>
  <c r="E756" i="1"/>
  <c r="F756" i="1" s="1"/>
  <c r="D758" i="1" l="1"/>
  <c r="E757" i="1"/>
  <c r="F757" i="1" s="1"/>
  <c r="D759" i="1" l="1"/>
  <c r="E758" i="1"/>
  <c r="F758" i="1" s="1"/>
  <c r="D760" i="1" l="1"/>
  <c r="E759" i="1"/>
  <c r="F759" i="1" s="1"/>
  <c r="E760" i="1" l="1"/>
  <c r="F760" i="1" s="1"/>
  <c r="D761" i="1"/>
  <c r="D762" i="1" l="1"/>
  <c r="E761" i="1"/>
  <c r="F761" i="1" s="1"/>
  <c r="E762" i="1" l="1"/>
  <c r="F762" i="1" s="1"/>
  <c r="D763" i="1"/>
  <c r="D764" i="1" l="1"/>
  <c r="E763" i="1"/>
  <c r="F763" i="1" s="1"/>
  <c r="D765" i="1" l="1"/>
  <c r="E764" i="1"/>
  <c r="F764" i="1" s="1"/>
  <c r="D766" i="1" l="1"/>
  <c r="E765" i="1"/>
  <c r="F765" i="1" s="1"/>
  <c r="D767" i="1" l="1"/>
  <c r="E766" i="1"/>
  <c r="F766" i="1" s="1"/>
  <c r="D768" i="1" l="1"/>
  <c r="E767" i="1"/>
  <c r="F767" i="1" s="1"/>
  <c r="E768" i="1" l="1"/>
  <c r="F768" i="1" s="1"/>
  <c r="D769" i="1"/>
  <c r="D770" i="1" l="1"/>
  <c r="E769" i="1"/>
  <c r="F769" i="1" s="1"/>
  <c r="E770" i="1" l="1"/>
  <c r="F770" i="1" s="1"/>
  <c r="D771" i="1"/>
  <c r="D772" i="1" l="1"/>
  <c r="E771" i="1"/>
  <c r="F771" i="1" s="1"/>
  <c r="D773" i="1" l="1"/>
  <c r="E772" i="1"/>
  <c r="F772" i="1" s="1"/>
  <c r="D774" i="1" l="1"/>
  <c r="E773" i="1"/>
  <c r="F773" i="1" s="1"/>
  <c r="D775" i="1" l="1"/>
  <c r="E774" i="1"/>
  <c r="F774" i="1" s="1"/>
  <c r="D776" i="1" l="1"/>
  <c r="E775" i="1"/>
  <c r="F775" i="1" s="1"/>
  <c r="E776" i="1" l="1"/>
  <c r="F776" i="1" s="1"/>
  <c r="D777" i="1"/>
  <c r="D778" i="1" l="1"/>
  <c r="E777" i="1"/>
  <c r="F777" i="1" s="1"/>
  <c r="E778" i="1" l="1"/>
  <c r="F778" i="1" s="1"/>
  <c r="D779" i="1"/>
  <c r="D780" i="1" l="1"/>
  <c r="E779" i="1"/>
  <c r="F779" i="1" s="1"/>
  <c r="D781" i="1" l="1"/>
  <c r="E780" i="1"/>
  <c r="F780" i="1" s="1"/>
  <c r="D782" i="1" l="1"/>
  <c r="E781" i="1"/>
  <c r="F781" i="1" s="1"/>
  <c r="D783" i="1" l="1"/>
  <c r="E782" i="1"/>
  <c r="F782" i="1" s="1"/>
  <c r="D784" i="1" l="1"/>
  <c r="E783" i="1"/>
  <c r="F783" i="1" s="1"/>
  <c r="E784" i="1" l="1"/>
  <c r="F784" i="1" s="1"/>
  <c r="D785" i="1"/>
  <c r="D786" i="1" l="1"/>
  <c r="E785" i="1"/>
  <c r="F785" i="1" s="1"/>
  <c r="E786" i="1" l="1"/>
  <c r="F786" i="1" s="1"/>
  <c r="D787" i="1"/>
  <c r="D788" i="1" l="1"/>
  <c r="E787" i="1"/>
  <c r="F787" i="1" s="1"/>
  <c r="D789" i="1" l="1"/>
  <c r="E788" i="1"/>
  <c r="F788" i="1" s="1"/>
  <c r="E789" i="1" l="1"/>
  <c r="F789" i="1" s="1"/>
  <c r="D790" i="1"/>
  <c r="D791" i="1" l="1"/>
  <c r="E790" i="1"/>
  <c r="F790" i="1" s="1"/>
  <c r="D792" i="1" l="1"/>
  <c r="E791" i="1"/>
  <c r="F791" i="1" s="1"/>
  <c r="E792" i="1" l="1"/>
  <c r="F792" i="1" s="1"/>
  <c r="D793" i="1"/>
  <c r="D794" i="1" l="1"/>
  <c r="E793" i="1"/>
  <c r="F793" i="1" s="1"/>
  <c r="E794" i="1" l="1"/>
  <c r="F794" i="1" s="1"/>
  <c r="D795" i="1"/>
  <c r="D796" i="1" l="1"/>
  <c r="E795" i="1"/>
  <c r="F795" i="1" s="1"/>
  <c r="D797" i="1" l="1"/>
  <c r="E796" i="1"/>
  <c r="F796" i="1" s="1"/>
  <c r="D798" i="1" l="1"/>
  <c r="E797" i="1"/>
  <c r="F797" i="1" s="1"/>
  <c r="D799" i="1" l="1"/>
  <c r="E798" i="1"/>
  <c r="F798" i="1" s="1"/>
  <c r="D800" i="1" l="1"/>
  <c r="E799" i="1"/>
  <c r="F799" i="1" s="1"/>
  <c r="E800" i="1" l="1"/>
  <c r="F800" i="1" s="1"/>
  <c r="D801" i="1"/>
  <c r="D802" i="1" l="1"/>
  <c r="E801" i="1"/>
  <c r="F801" i="1" s="1"/>
  <c r="E802" i="1" l="1"/>
  <c r="F802" i="1" s="1"/>
  <c r="D803" i="1"/>
  <c r="D804" i="1" l="1"/>
  <c r="E803" i="1"/>
  <c r="F803" i="1" s="1"/>
  <c r="D805" i="1" l="1"/>
  <c r="E804" i="1"/>
  <c r="F804" i="1" s="1"/>
  <c r="D806" i="1" l="1"/>
  <c r="E805" i="1"/>
  <c r="F805" i="1" s="1"/>
  <c r="D807" i="1" l="1"/>
  <c r="E806" i="1"/>
  <c r="F806" i="1" s="1"/>
  <c r="D808" i="1" l="1"/>
  <c r="E807" i="1"/>
  <c r="F807" i="1" s="1"/>
  <c r="E808" i="1" l="1"/>
  <c r="F808" i="1" s="1"/>
  <c r="D809" i="1"/>
  <c r="D810" i="1" l="1"/>
  <c r="E809" i="1"/>
  <c r="F809" i="1" s="1"/>
  <c r="E810" i="1" l="1"/>
  <c r="F810" i="1" s="1"/>
  <c r="D811" i="1"/>
  <c r="D812" i="1" l="1"/>
  <c r="E811" i="1"/>
  <c r="F811" i="1" s="1"/>
  <c r="D813" i="1" l="1"/>
  <c r="E812" i="1"/>
  <c r="F812" i="1" s="1"/>
  <c r="D814" i="1" l="1"/>
  <c r="E813" i="1"/>
  <c r="F813" i="1" s="1"/>
  <c r="E814" i="1" l="1"/>
  <c r="F814" i="1" s="1"/>
  <c r="D815" i="1"/>
  <c r="D816" i="1" l="1"/>
  <c r="E815" i="1"/>
  <c r="F815" i="1" s="1"/>
  <c r="D817" i="1" l="1"/>
  <c r="E816" i="1"/>
  <c r="F816" i="1" s="1"/>
  <c r="D818" i="1" l="1"/>
  <c r="E817" i="1"/>
  <c r="F817" i="1" s="1"/>
  <c r="D819" i="1" l="1"/>
  <c r="E818" i="1"/>
  <c r="F818" i="1" s="1"/>
  <c r="D820" i="1" l="1"/>
  <c r="E819" i="1"/>
  <c r="F819" i="1" s="1"/>
  <c r="D821" i="1" l="1"/>
  <c r="E820" i="1"/>
  <c r="F820" i="1" s="1"/>
  <c r="D822" i="1" l="1"/>
  <c r="E821" i="1"/>
  <c r="F821" i="1" s="1"/>
  <c r="D823" i="1" l="1"/>
  <c r="E822" i="1"/>
  <c r="F822" i="1" s="1"/>
  <c r="E823" i="1" l="1"/>
  <c r="F823" i="1" s="1"/>
  <c r="D824" i="1"/>
  <c r="D825" i="1" l="1"/>
  <c r="E824" i="1"/>
  <c r="F824" i="1" s="1"/>
  <c r="E825" i="1" l="1"/>
  <c r="F825" i="1" s="1"/>
  <c r="D826" i="1"/>
  <c r="D827" i="1" l="1"/>
  <c r="E826" i="1"/>
  <c r="F826" i="1" s="1"/>
  <c r="D828" i="1" l="1"/>
  <c r="E827" i="1"/>
  <c r="F827" i="1" s="1"/>
  <c r="D829" i="1" l="1"/>
  <c r="E828" i="1"/>
  <c r="F828" i="1" s="1"/>
  <c r="D830" i="1" l="1"/>
  <c r="E829" i="1"/>
  <c r="F829" i="1" s="1"/>
  <c r="D831" i="1" l="1"/>
  <c r="E830" i="1"/>
  <c r="F830" i="1" s="1"/>
  <c r="D832" i="1" l="1"/>
  <c r="E831" i="1"/>
  <c r="F831" i="1" s="1"/>
  <c r="D833" i="1" l="1"/>
  <c r="E832" i="1"/>
  <c r="F832" i="1" s="1"/>
  <c r="E833" i="1" l="1"/>
  <c r="F833" i="1" s="1"/>
  <c r="D834" i="1"/>
  <c r="D835" i="1" l="1"/>
  <c r="E834" i="1"/>
  <c r="F834" i="1" s="1"/>
  <c r="D836" i="1" l="1"/>
  <c r="E835" i="1"/>
  <c r="F835" i="1" s="1"/>
  <c r="D837" i="1" l="1"/>
  <c r="E836" i="1"/>
  <c r="F836" i="1" s="1"/>
  <c r="D838" i="1" l="1"/>
  <c r="E837" i="1"/>
  <c r="F837" i="1" s="1"/>
  <c r="D839" i="1" l="1"/>
  <c r="E838" i="1"/>
  <c r="F838" i="1" s="1"/>
  <c r="D840" i="1" l="1"/>
  <c r="E839" i="1"/>
  <c r="F839" i="1" s="1"/>
  <c r="D841" i="1" l="1"/>
  <c r="E840" i="1"/>
  <c r="F840" i="1" s="1"/>
  <c r="D842" i="1" l="1"/>
  <c r="E841" i="1"/>
  <c r="F841" i="1" s="1"/>
  <c r="D843" i="1" l="1"/>
  <c r="E842" i="1"/>
  <c r="F842" i="1" s="1"/>
  <c r="D844" i="1" l="1"/>
  <c r="E843" i="1"/>
  <c r="F843" i="1" s="1"/>
  <c r="D845" i="1" l="1"/>
  <c r="E844" i="1"/>
  <c r="F844" i="1" s="1"/>
  <c r="D846" i="1" l="1"/>
  <c r="E845" i="1"/>
  <c r="F845" i="1" s="1"/>
  <c r="D847" i="1" l="1"/>
  <c r="E846" i="1"/>
  <c r="F846" i="1" s="1"/>
  <c r="D848" i="1" l="1"/>
  <c r="E847" i="1"/>
  <c r="F847" i="1" s="1"/>
  <c r="D849" i="1" l="1"/>
  <c r="E848" i="1"/>
  <c r="F848" i="1" s="1"/>
  <c r="D850" i="1" l="1"/>
  <c r="E849" i="1"/>
  <c r="F849" i="1" s="1"/>
  <c r="D851" i="1" l="1"/>
  <c r="E850" i="1"/>
  <c r="F850" i="1" s="1"/>
  <c r="D852" i="1" l="1"/>
  <c r="E851" i="1"/>
  <c r="F851" i="1" s="1"/>
  <c r="D853" i="1" l="1"/>
  <c r="E852" i="1"/>
  <c r="F852" i="1" s="1"/>
  <c r="D854" i="1" l="1"/>
  <c r="E853" i="1"/>
  <c r="F853" i="1" s="1"/>
  <c r="D855" i="1" l="1"/>
  <c r="E854" i="1"/>
  <c r="F854" i="1" s="1"/>
  <c r="D856" i="1" l="1"/>
  <c r="E855" i="1"/>
  <c r="F855" i="1" s="1"/>
  <c r="D857" i="1" l="1"/>
  <c r="E856" i="1"/>
  <c r="F856" i="1" s="1"/>
  <c r="D858" i="1" l="1"/>
  <c r="E857" i="1"/>
  <c r="F857" i="1" s="1"/>
  <c r="D859" i="1" l="1"/>
  <c r="E858" i="1"/>
  <c r="F858" i="1" s="1"/>
  <c r="D860" i="1" l="1"/>
  <c r="E859" i="1"/>
  <c r="F859" i="1" s="1"/>
  <c r="D861" i="1" l="1"/>
  <c r="E860" i="1"/>
  <c r="F860" i="1" s="1"/>
  <c r="D862" i="1" l="1"/>
  <c r="E861" i="1"/>
  <c r="F861" i="1" s="1"/>
  <c r="D863" i="1" l="1"/>
  <c r="E862" i="1"/>
  <c r="F862" i="1" s="1"/>
  <c r="D864" i="1" l="1"/>
  <c r="E863" i="1"/>
  <c r="F863" i="1" s="1"/>
  <c r="D865" i="1" l="1"/>
  <c r="E864" i="1"/>
  <c r="F864" i="1" s="1"/>
  <c r="D866" i="1" l="1"/>
  <c r="E865" i="1"/>
  <c r="F865" i="1" s="1"/>
  <c r="D867" i="1" l="1"/>
  <c r="E866" i="1"/>
  <c r="F866" i="1" s="1"/>
  <c r="D868" i="1" l="1"/>
  <c r="E867" i="1"/>
  <c r="F867" i="1" s="1"/>
  <c r="D869" i="1" l="1"/>
  <c r="E868" i="1"/>
  <c r="F868" i="1" s="1"/>
  <c r="D870" i="1" l="1"/>
  <c r="E869" i="1"/>
  <c r="F869" i="1" s="1"/>
  <c r="D871" i="1" l="1"/>
  <c r="E870" i="1"/>
  <c r="F870" i="1" s="1"/>
  <c r="D872" i="1" l="1"/>
  <c r="E871" i="1"/>
  <c r="F871" i="1" s="1"/>
  <c r="D873" i="1" l="1"/>
  <c r="E872" i="1"/>
  <c r="F872" i="1" s="1"/>
  <c r="D874" i="1" l="1"/>
  <c r="E873" i="1"/>
  <c r="F873" i="1" s="1"/>
  <c r="D875" i="1" l="1"/>
  <c r="E874" i="1"/>
  <c r="F874" i="1" s="1"/>
  <c r="D876" i="1" l="1"/>
  <c r="E875" i="1"/>
  <c r="F875" i="1" s="1"/>
  <c r="D877" i="1" l="1"/>
  <c r="E876" i="1"/>
  <c r="F876" i="1" s="1"/>
  <c r="D878" i="1" l="1"/>
  <c r="E877" i="1"/>
  <c r="F877" i="1" s="1"/>
  <c r="D879" i="1" l="1"/>
  <c r="E878" i="1"/>
  <c r="F878" i="1" s="1"/>
  <c r="D880" i="1" l="1"/>
  <c r="E879" i="1"/>
  <c r="F879" i="1" s="1"/>
  <c r="D881" i="1" l="1"/>
  <c r="E880" i="1"/>
  <c r="F880" i="1" s="1"/>
  <c r="D882" i="1" l="1"/>
  <c r="E881" i="1"/>
  <c r="F881" i="1" s="1"/>
  <c r="D883" i="1" l="1"/>
  <c r="E882" i="1"/>
  <c r="F882" i="1" s="1"/>
  <c r="D884" i="1" l="1"/>
  <c r="E883" i="1"/>
  <c r="F883" i="1" s="1"/>
  <c r="D885" i="1" l="1"/>
  <c r="E884" i="1"/>
  <c r="F884" i="1" s="1"/>
  <c r="D886" i="1" l="1"/>
  <c r="E885" i="1"/>
  <c r="F885" i="1" s="1"/>
  <c r="D887" i="1" l="1"/>
  <c r="E886" i="1"/>
  <c r="F886" i="1" s="1"/>
  <c r="D888" i="1" l="1"/>
  <c r="E887" i="1"/>
  <c r="F887" i="1" s="1"/>
  <c r="D889" i="1" l="1"/>
  <c r="E888" i="1"/>
  <c r="F888" i="1" s="1"/>
  <c r="D890" i="1" l="1"/>
  <c r="E889" i="1"/>
  <c r="F889" i="1" s="1"/>
  <c r="D891" i="1" l="1"/>
  <c r="E890" i="1"/>
  <c r="F890" i="1" s="1"/>
  <c r="D892" i="1" l="1"/>
  <c r="E891" i="1"/>
  <c r="F891" i="1" s="1"/>
  <c r="D893" i="1" l="1"/>
  <c r="E892" i="1"/>
  <c r="F892" i="1" s="1"/>
  <c r="D894" i="1" l="1"/>
  <c r="E893" i="1"/>
  <c r="F893" i="1" s="1"/>
  <c r="D895" i="1" l="1"/>
  <c r="E894" i="1"/>
  <c r="F894" i="1" s="1"/>
  <c r="D896" i="1" l="1"/>
  <c r="E895" i="1"/>
  <c r="F895" i="1" s="1"/>
  <c r="D897" i="1" l="1"/>
  <c r="E896" i="1"/>
  <c r="F896" i="1" s="1"/>
  <c r="D898" i="1" l="1"/>
  <c r="E897" i="1"/>
  <c r="F897" i="1" s="1"/>
  <c r="D899" i="1" l="1"/>
  <c r="E898" i="1"/>
  <c r="F898" i="1" s="1"/>
  <c r="D900" i="1" l="1"/>
  <c r="E899" i="1"/>
  <c r="F899" i="1" s="1"/>
  <c r="E900" i="1" l="1"/>
  <c r="F900" i="1" s="1"/>
  <c r="D901" i="1"/>
  <c r="D902" i="1" l="1"/>
  <c r="E901" i="1"/>
  <c r="F901" i="1" s="1"/>
  <c r="E902" i="1" l="1"/>
  <c r="F902" i="1" s="1"/>
  <c r="D903" i="1"/>
  <c r="D904" i="1" l="1"/>
  <c r="E903" i="1"/>
  <c r="F903" i="1" s="1"/>
  <c r="D905" i="1" l="1"/>
  <c r="E904" i="1"/>
  <c r="F904" i="1" s="1"/>
  <c r="D906" i="1" l="1"/>
  <c r="E905" i="1"/>
  <c r="F905" i="1" s="1"/>
  <c r="D907" i="1" l="1"/>
  <c r="E906" i="1"/>
  <c r="F906" i="1" s="1"/>
  <c r="E907" i="1" l="1"/>
  <c r="F907" i="1" s="1"/>
  <c r="D908" i="1"/>
  <c r="D909" i="1" l="1"/>
  <c r="E908" i="1"/>
  <c r="F908" i="1" s="1"/>
  <c r="E909" i="1" l="1"/>
  <c r="F909" i="1" s="1"/>
  <c r="D910" i="1"/>
  <c r="D911" i="1" l="1"/>
  <c r="E910" i="1"/>
  <c r="F910" i="1" s="1"/>
  <c r="E911" i="1" l="1"/>
  <c r="F911" i="1" s="1"/>
  <c r="D912" i="1"/>
  <c r="D913" i="1" l="1"/>
  <c r="E912" i="1"/>
  <c r="F912" i="1" s="1"/>
  <c r="D914" i="1" l="1"/>
  <c r="E913" i="1"/>
  <c r="F913" i="1" s="1"/>
  <c r="D915" i="1" l="1"/>
  <c r="E914" i="1"/>
  <c r="F914" i="1" s="1"/>
  <c r="D916" i="1" l="1"/>
  <c r="E915" i="1"/>
  <c r="F915" i="1" s="1"/>
  <c r="E916" i="1" l="1"/>
  <c r="F916" i="1" s="1"/>
  <c r="D917" i="1"/>
  <c r="D918" i="1" l="1"/>
  <c r="E917" i="1"/>
  <c r="F917" i="1" s="1"/>
  <c r="E918" i="1" l="1"/>
  <c r="F918" i="1" s="1"/>
  <c r="D919" i="1"/>
  <c r="D920" i="1" l="1"/>
  <c r="E919" i="1"/>
  <c r="F919" i="1" s="1"/>
  <c r="D921" i="1" l="1"/>
  <c r="E920" i="1"/>
  <c r="F920" i="1" s="1"/>
  <c r="E921" i="1" l="1"/>
  <c r="F921" i="1" s="1"/>
  <c r="D922" i="1"/>
  <c r="D923" i="1" l="1"/>
  <c r="E922" i="1"/>
  <c r="F922" i="1" s="1"/>
  <c r="E923" i="1" l="1"/>
  <c r="F923" i="1" s="1"/>
  <c r="D924" i="1"/>
  <c r="D925" i="1" l="1"/>
  <c r="E924" i="1"/>
  <c r="F924" i="1" s="1"/>
  <c r="D926" i="1" l="1"/>
  <c r="E925" i="1"/>
  <c r="F925" i="1" s="1"/>
  <c r="D927" i="1" l="1"/>
  <c r="E926" i="1"/>
  <c r="F926" i="1" s="1"/>
  <c r="D928" i="1" l="1"/>
  <c r="E927" i="1"/>
  <c r="F927" i="1" s="1"/>
  <c r="D929" i="1" l="1"/>
  <c r="E928" i="1"/>
  <c r="F928" i="1" s="1"/>
  <c r="E929" i="1" l="1"/>
  <c r="F929" i="1" s="1"/>
  <c r="D930" i="1"/>
  <c r="D931" i="1" l="1"/>
  <c r="E930" i="1"/>
  <c r="F930" i="1" s="1"/>
  <c r="E931" i="1" l="1"/>
  <c r="F931" i="1" s="1"/>
  <c r="D932" i="1"/>
  <c r="D933" i="1" l="1"/>
  <c r="E932" i="1"/>
  <c r="F932" i="1" s="1"/>
  <c r="D934" i="1" l="1"/>
  <c r="E933" i="1"/>
  <c r="F933" i="1" s="1"/>
  <c r="D935" i="1" l="1"/>
  <c r="E934" i="1"/>
  <c r="F934" i="1" s="1"/>
  <c r="D936" i="1" l="1"/>
  <c r="E935" i="1"/>
  <c r="F935" i="1" s="1"/>
  <c r="D937" i="1" l="1"/>
  <c r="E936" i="1"/>
  <c r="F936" i="1" s="1"/>
  <c r="E937" i="1" l="1"/>
  <c r="F937" i="1" s="1"/>
  <c r="D938" i="1"/>
  <c r="D939" i="1" l="1"/>
  <c r="E938" i="1"/>
  <c r="F938" i="1" s="1"/>
  <c r="E939" i="1" l="1"/>
  <c r="F939" i="1" s="1"/>
  <c r="D940" i="1"/>
  <c r="D941" i="1" l="1"/>
  <c r="E940" i="1"/>
  <c r="F940" i="1" s="1"/>
  <c r="D942" i="1" l="1"/>
  <c r="E941" i="1"/>
  <c r="F941" i="1" s="1"/>
  <c r="D943" i="1" l="1"/>
  <c r="E942" i="1"/>
  <c r="F942" i="1" s="1"/>
  <c r="D944" i="1" l="1"/>
  <c r="E943" i="1"/>
  <c r="F943" i="1" s="1"/>
  <c r="D945" i="1" l="1"/>
  <c r="E944" i="1"/>
  <c r="F944" i="1" s="1"/>
  <c r="E945" i="1" l="1"/>
  <c r="F945" i="1" s="1"/>
  <c r="D946" i="1"/>
  <c r="D947" i="1" l="1"/>
  <c r="E946" i="1"/>
  <c r="F946" i="1" s="1"/>
  <c r="E947" i="1" l="1"/>
  <c r="F947" i="1" s="1"/>
  <c r="D948" i="1"/>
  <c r="D949" i="1" l="1"/>
  <c r="E948" i="1"/>
  <c r="F948" i="1" s="1"/>
  <c r="D950" i="1" l="1"/>
  <c r="E949" i="1"/>
  <c r="F949" i="1" s="1"/>
  <c r="D951" i="1" l="1"/>
  <c r="E950" i="1"/>
  <c r="F950" i="1" s="1"/>
  <c r="D952" i="1" l="1"/>
  <c r="E951" i="1"/>
  <c r="F951" i="1" s="1"/>
  <c r="D953" i="1" l="1"/>
  <c r="E952" i="1"/>
  <c r="F952" i="1" s="1"/>
  <c r="E953" i="1" l="1"/>
  <c r="F953" i="1" s="1"/>
  <c r="D954" i="1"/>
  <c r="D955" i="1" l="1"/>
  <c r="E954" i="1"/>
  <c r="F954" i="1" s="1"/>
  <c r="D956" i="1" l="1"/>
  <c r="E955" i="1"/>
  <c r="F955" i="1" s="1"/>
  <c r="D957" i="1" l="1"/>
  <c r="E956" i="1"/>
  <c r="F956" i="1" s="1"/>
  <c r="D958" i="1" l="1"/>
  <c r="E957" i="1"/>
  <c r="F957" i="1" s="1"/>
  <c r="D959" i="1" l="1"/>
  <c r="E958" i="1"/>
  <c r="F958" i="1" s="1"/>
  <c r="E959" i="1" l="1"/>
  <c r="F959" i="1" s="1"/>
  <c r="D960" i="1"/>
  <c r="D961" i="1" l="1"/>
  <c r="E960" i="1"/>
  <c r="F960" i="1" s="1"/>
  <c r="D962" i="1" l="1"/>
  <c r="E961" i="1"/>
  <c r="F961" i="1" s="1"/>
  <c r="D963" i="1" l="1"/>
  <c r="E962" i="1"/>
  <c r="F962" i="1" s="1"/>
  <c r="E963" i="1" l="1"/>
  <c r="F963" i="1" s="1"/>
  <c r="D964" i="1"/>
  <c r="D965" i="1" l="1"/>
  <c r="E964" i="1"/>
  <c r="F964" i="1" s="1"/>
  <c r="E965" i="1" l="1"/>
  <c r="F965" i="1" s="1"/>
  <c r="D966" i="1"/>
  <c r="D967" i="1" l="1"/>
  <c r="E966" i="1"/>
  <c r="F966" i="1" s="1"/>
  <c r="E967" i="1" l="1"/>
  <c r="F967" i="1" s="1"/>
  <c r="D968" i="1"/>
  <c r="D969" i="1" l="1"/>
  <c r="E968" i="1"/>
  <c r="F968" i="1" s="1"/>
  <c r="E969" i="1" l="1"/>
  <c r="F969" i="1" s="1"/>
  <c r="D970" i="1"/>
  <c r="D971" i="1" l="1"/>
  <c r="E970" i="1"/>
  <c r="F970" i="1" s="1"/>
  <c r="E971" i="1" l="1"/>
  <c r="F971" i="1" s="1"/>
  <c r="D972" i="1"/>
  <c r="D973" i="1" l="1"/>
  <c r="E972" i="1"/>
  <c r="F972" i="1" s="1"/>
  <c r="E973" i="1" l="1"/>
  <c r="F973" i="1" s="1"/>
  <c r="D974" i="1"/>
  <c r="D975" i="1" l="1"/>
  <c r="E974" i="1"/>
  <c r="F974" i="1" s="1"/>
  <c r="E975" i="1" l="1"/>
  <c r="F975" i="1" s="1"/>
  <c r="D976" i="1"/>
  <c r="D977" i="1" l="1"/>
  <c r="E976" i="1"/>
  <c r="F976" i="1" s="1"/>
  <c r="E977" i="1" l="1"/>
  <c r="F977" i="1" s="1"/>
  <c r="D978" i="1"/>
  <c r="D979" i="1" l="1"/>
  <c r="E978" i="1"/>
  <c r="F978" i="1" s="1"/>
  <c r="E979" i="1" l="1"/>
  <c r="F979" i="1" s="1"/>
  <c r="D980" i="1"/>
  <c r="D981" i="1" l="1"/>
  <c r="E980" i="1"/>
  <c r="F980" i="1" s="1"/>
  <c r="E981" i="1" l="1"/>
  <c r="F981" i="1" s="1"/>
  <c r="D982" i="1"/>
  <c r="D983" i="1" l="1"/>
  <c r="E982" i="1"/>
  <c r="F982" i="1" s="1"/>
  <c r="E983" i="1" l="1"/>
  <c r="F983" i="1" s="1"/>
  <c r="D984" i="1"/>
  <c r="D985" i="1" l="1"/>
  <c r="E984" i="1"/>
  <c r="F984" i="1" s="1"/>
  <c r="E985" i="1" l="1"/>
  <c r="F985" i="1" s="1"/>
  <c r="D986" i="1"/>
  <c r="D987" i="1" l="1"/>
  <c r="E986" i="1"/>
  <c r="F986" i="1" s="1"/>
  <c r="E987" i="1" l="1"/>
  <c r="F987" i="1" s="1"/>
  <c r="D988" i="1"/>
  <c r="D989" i="1" l="1"/>
  <c r="E988" i="1"/>
  <c r="F988" i="1" s="1"/>
  <c r="E989" i="1" l="1"/>
  <c r="F989" i="1" s="1"/>
  <c r="D990" i="1"/>
  <c r="D991" i="1" l="1"/>
  <c r="E990" i="1"/>
  <c r="F990" i="1" s="1"/>
  <c r="E991" i="1" l="1"/>
  <c r="F991" i="1" s="1"/>
  <c r="D992" i="1"/>
  <c r="D993" i="1" l="1"/>
  <c r="E992" i="1"/>
  <c r="F992" i="1" s="1"/>
  <c r="E993" i="1" l="1"/>
  <c r="F993" i="1" s="1"/>
  <c r="D994" i="1"/>
  <c r="D995" i="1" l="1"/>
  <c r="E994" i="1"/>
  <c r="F994" i="1" s="1"/>
  <c r="E995" i="1" l="1"/>
  <c r="F995" i="1" s="1"/>
  <c r="D996" i="1"/>
  <c r="D997" i="1" l="1"/>
  <c r="E996" i="1"/>
  <c r="F996" i="1" s="1"/>
  <c r="E997" i="1" l="1"/>
  <c r="F997" i="1" s="1"/>
  <c r="D998" i="1"/>
  <c r="D999" i="1" l="1"/>
  <c r="E998" i="1"/>
  <c r="F998" i="1" s="1"/>
  <c r="E999" i="1" l="1"/>
  <c r="F999" i="1" s="1"/>
  <c r="D1000" i="1"/>
  <c r="D1001" i="1" l="1"/>
  <c r="E1000" i="1"/>
  <c r="F1000" i="1" s="1"/>
  <c r="E1001" i="1" l="1"/>
  <c r="F1001" i="1" s="1"/>
  <c r="D1002" i="1"/>
  <c r="D1003" i="1" l="1"/>
  <c r="E1002" i="1"/>
  <c r="F1002" i="1" s="1"/>
  <c r="E1003" i="1" l="1"/>
  <c r="F1003" i="1" s="1"/>
  <c r="D1004" i="1"/>
  <c r="D1005" i="1" l="1"/>
  <c r="E1004" i="1"/>
  <c r="F1004" i="1" s="1"/>
  <c r="E1005" i="1" l="1"/>
  <c r="F1005" i="1" s="1"/>
  <c r="D1006" i="1"/>
  <c r="D1007" i="1" l="1"/>
  <c r="E1006" i="1"/>
  <c r="F1006" i="1" s="1"/>
  <c r="E1007" i="1" l="1"/>
  <c r="F1007" i="1" s="1"/>
  <c r="D1008" i="1"/>
  <c r="D1009" i="1" l="1"/>
  <c r="E1008" i="1"/>
  <c r="F1008" i="1" s="1"/>
  <c r="E1009" i="1" l="1"/>
  <c r="F1009" i="1" s="1"/>
  <c r="J5" i="1" s="1"/>
  <c r="K5" i="1" s="1"/>
  <c r="L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Jos Berkemeijer</author>
  </authors>
  <commentList>
    <comment ref="C6" authorId="0" shapeId="0" xr:uid="{63A47BF1-5108-4B37-A71A-C02E43456648}">
      <text>
        <r>
          <rPr>
            <b/>
            <sz val="9"/>
            <color indexed="81"/>
            <rFont val="Tahoma"/>
            <family val="2"/>
          </rPr>
          <t>Jos Berkemeijer:</t>
        </r>
        <r>
          <rPr>
            <sz val="9"/>
            <color indexed="81"/>
            <rFont val="Tahoma"/>
            <family val="2"/>
          </rPr>
          <t xml:space="preserve">
Minimal width to avoid unmown grass</t>
        </r>
      </text>
    </comment>
  </commentList>
</comments>
</file>

<file path=xl/sharedStrings.xml><?xml version="1.0" encoding="utf-8"?>
<sst xmlns="http://schemas.openxmlformats.org/spreadsheetml/2006/main" count="42" uniqueCount="41">
  <si>
    <t>meter</t>
  </si>
  <si>
    <t>cm</t>
  </si>
  <si>
    <t>sec</t>
  </si>
  <si>
    <t>Min</t>
  </si>
  <si>
    <t>T= (π(1000+(12/2))^2)/(37,7*100) =  seconds</t>
  </si>
  <si>
    <t>3.14159 ((1000-(12/2)+(37.7/2))^2)/(37.7 x 100)</t>
  </si>
  <si>
    <t>π ((L-(D/2) +(W/2))^2) / (W*S)</t>
  </si>
  <si>
    <t>Example zonder overlap</t>
  </si>
  <si>
    <t>L = 10 meter = 1000 cm, D = 12 cm, W = 37,7 cm, and S = 100 cm/second</t>
  </si>
  <si>
    <t>If there is no overlap, the total area (A) that is then mowed is approximately A ≈ π ((L-(D/2) +(W/2))^2). The lawn mower mows per unit time W.S. So the mower takes approximately T ≈ A/(W.S) ≈ π ((L-(D/2) +(W/2))^2) / (W.S)) of time units.</t>
  </si>
  <si>
    <t>Example:</t>
  </si>
  <si>
    <t>L=10 meter=1000 cm, D=12 cm, W=37.7 cm, and S = 100 cm/sec.</t>
  </si>
  <si>
    <t>T ≈ π((L-(D/2) +(W/2))^2) / (W.S)=3.14159 x ((1000-(12/2)+(37.7/2))^2)/(37.7 x 100) ≈ 855 seconds ≈ 14 minutes.</t>
  </si>
  <si>
    <t>Diameter Pole</t>
  </si>
  <si>
    <t>Speed mower</t>
  </si>
  <si>
    <t>Width Mower (min)</t>
  </si>
  <si>
    <t>Round</t>
  </si>
  <si>
    <t>Distance</t>
  </si>
  <si>
    <t>circumference</t>
  </si>
  <si>
    <t>Sum</t>
  </si>
  <si>
    <t>Time it takes to mown the grass</t>
  </si>
  <si>
    <r>
      <t xml:space="preserve">T ≈ </t>
    </r>
    <r>
      <rPr>
        <sz val="11"/>
        <color rgb="FF000000"/>
        <rFont val="Calibri"/>
        <family val="2"/>
      </rPr>
      <t xml:space="preserve">π ((L-(D/2) +(W/2))^2) / (W.S) </t>
    </r>
  </si>
  <si>
    <t>D</t>
  </si>
  <si>
    <t>S</t>
  </si>
  <si>
    <t>W</t>
  </si>
  <si>
    <t>Length of the rope</t>
  </si>
  <si>
    <t>L</t>
  </si>
  <si>
    <t>cm/sec.</t>
  </si>
  <si>
    <t>Method</t>
  </si>
  <si>
    <t>From rounds in steps</t>
  </si>
  <si>
    <t>That's easy 😉 If the diameter of the pole is D, then the rope becomes D.π shorter each round. Let the width of the lawnmower be W. In order to avoid overlap and unmown grass, the width of the lawnmower must be exactly equal to the diameter of the pole times π. In formula: W= D.π.</t>
  </si>
  <si>
    <t>Since you usually already have a lawnmower, you can determine the diameter of the pole by dividing the width of the lawnmower by π. In formula: D=W/π. If the pole is wider, there will be unmown grass; with a narrower pole there will be an overlap.</t>
  </si>
  <si>
    <t>The next question is how much time (T) it takes for the lawnmower to mow the grass if it has a speed of S and the rope is L meters long. This is also easy to determine.</t>
  </si>
  <si>
    <t>If the lawn mower is wider than D.π , it makes (almost) no difference to the time it takes to mow the grass. 😉</t>
  </si>
  <si>
    <t>Lawmmower problem</t>
  </si>
  <si>
    <t>https://bit.ly/LawnmowerQ</t>
  </si>
  <si>
    <t>Answer</t>
  </si>
  <si>
    <t>Hour</t>
  </si>
  <si>
    <t>Method I</t>
  </si>
  <si>
    <t>Method II</t>
  </si>
  <si>
    <t>Question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</si>
</sst>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0.0"/>
    <numFmt numFmtId="165" formatCode="_ * #,##0.0_ ;_ * \-#,##0.0_ ;_ * &quot;-&quot;??_ ;_ @_ "/>
  </numFmts>
  <fonts count="12" x14ac:knownFonts="1">
    <font>
      <sz val="11"/>
      <color theme="1"/>
      <name val="Calibri"/>
      <family val="2"/>
    </font>
    <font>
      <sz val="11"/>
      <color theme="1"/>
      <name val="Calibri"/>
      <family val="2"/>
    </font>
    <font>
      <sz val="11"/>
      <color rgb="FF3F3F76"/>
      <name val="Calibri"/>
      <family val="2"/>
    </font>
    <font>
      <b/>
      <sz val="11"/>
      <color theme="1"/>
      <name val="Calibri"/>
      <family val="2"/>
    </font>
    <font>
      <u/>
      <sz val="11"/>
      <color theme="10"/>
      <name val="Calibri"/>
      <family val="2"/>
    </font>
    <font>
      <sz val="11"/>
      <color rgb="FF000000"/>
      <name val="Calibri"/>
      <family val="2"/>
    </font>
    <font>
      <sz val="9"/>
      <color indexed="81"/>
      <name val="Tahoma"/>
      <family val="2"/>
    </font>
    <font>
      <b/>
      <sz val="9"/>
      <color indexed="81"/>
      <name val="Tahoma"/>
      <family val="2"/>
    </font>
    <font>
      <b/>
      <u/>
      <sz val="11"/>
      <color theme="1"/>
      <name val="Calibri"/>
      <family val="2"/>
    </font>
    <font>
      <b/>
      <u/>
      <sz val="11"/>
      <color theme="4" tint="-0.249977111117893"/>
      <name val="Calibri"/>
      <family val="2"/>
    </font>
    <font>
      <b/>
      <sz val="11"/>
      <color theme="7" tint="-0.249977111117893"/>
      <name val="Calibri"/>
      <family val="2"/>
    </font>
    <font>
      <b/>
      <u/>
      <sz val="14"/>
      <color theme="4" tint="-0.249977111117893"/>
      <name val="Calibri"/>
      <family val="2"/>
    </font>
  </fonts>
  <fills count="4">
    <fill>
      <patternFill patternType="none"/>
    </fill>
    <fill>
      <patternFill patternType="gray125"/>
    </fill>
    <fill>
      <patternFill patternType="solid">
        <fgColor rgb="FFFFCC99"/>
      </patternFill>
    </fill>
    <fill>
      <patternFill patternType="solid">
        <fgColor theme="0" tint="-4.9989318521683403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2" fillId="2" borderId="1" applyNumberFormat="0" applyAlignment="0" applyProtection="0"/>
    <xf numFmtId="0" fontId="4" fillId="0" borderId="0" applyNumberFormat="0" applyFill="0" applyBorder="0" applyAlignment="0" applyProtection="0"/>
  </cellStyleXfs>
  <cellXfs count="14">
    <xf numFmtId="0" fontId="0" fillId="0" borderId="0" xfId="0"/>
    <xf numFmtId="164" fontId="0" fillId="0" borderId="0" xfId="0" applyNumberFormat="1"/>
    <xf numFmtId="0" fontId="0" fillId="0" borderId="0" xfId="0" quotePrefix="1"/>
    <xf numFmtId="0" fontId="2" fillId="3" borderId="1" xfId="2" applyFill="1"/>
    <xf numFmtId="165" fontId="0" fillId="0" borderId="0" xfId="1" applyNumberFormat="1" applyFont="1"/>
    <xf numFmtId="0" fontId="4" fillId="0" borderId="0" xfId="3"/>
    <xf numFmtId="0" fontId="0" fillId="0" borderId="0" xfId="0" applyAlignment="1">
      <alignment wrapText="1"/>
    </xf>
    <xf numFmtId="0" fontId="3" fillId="0" borderId="2" xfId="0" applyFont="1" applyBorder="1"/>
    <xf numFmtId="0" fontId="8" fillId="0" borderId="0" xfId="0" applyFont="1"/>
    <xf numFmtId="0" fontId="9" fillId="0" borderId="0" xfId="0" applyFont="1"/>
    <xf numFmtId="0" fontId="10" fillId="0" borderId="0" xfId="0" applyFont="1"/>
    <xf numFmtId="0" fontId="11" fillId="0" borderId="0" xfId="0" applyFont="1"/>
    <xf numFmtId="0" fontId="2" fillId="2" borderId="1" xfId="2" applyProtection="1">
      <protection locked="0"/>
    </xf>
    <xf numFmtId="0" fontId="0" fillId="0" borderId="0" xfId="0" applyAlignment="1">
      <alignment horizontal="center"/>
    </xf>
  </cellXfs>
  <cellStyles count="4">
    <cellStyle name="Hyperlink" xfId="3" builtinId="8"/>
    <cellStyle name="Invoer" xfId="2" builtinId="20"/>
    <cellStyle name="Komma" xfId="1" builtinId="3"/>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bit.ly/LawnmowerQ"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79774-8CAF-4491-8E9A-06403ED269AC}">
  <dimension ref="A1:P1310"/>
  <sheetViews>
    <sheetView tabSelected="1" workbookViewId="0">
      <selection activeCell="I21" sqref="I21"/>
    </sheetView>
  </sheetViews>
  <sheetFormatPr defaultRowHeight="14.3" x14ac:dyDescent="0.25"/>
  <cols>
    <col min="3" max="3" width="19.25" customWidth="1"/>
    <col min="4" max="4" width="11.375" customWidth="1"/>
    <col min="5" max="5" width="9" customWidth="1"/>
    <col min="9" max="9" width="10.375" customWidth="1"/>
  </cols>
  <sheetData>
    <row r="1" spans="1:16" ht="19.05" x14ac:dyDescent="0.35">
      <c r="A1" s="11" t="s">
        <v>34</v>
      </c>
    </row>
    <row r="3" spans="1:16" x14ac:dyDescent="0.25">
      <c r="B3" t="s">
        <v>26</v>
      </c>
      <c r="C3" t="s">
        <v>25</v>
      </c>
      <c r="D3" s="12">
        <v>10</v>
      </c>
      <c r="E3" t="s">
        <v>0</v>
      </c>
      <c r="F3" s="3" t="str">
        <f>(L*100)&amp;"cm"</f>
        <v>1000cm</v>
      </c>
      <c r="I3" s="8" t="s">
        <v>20</v>
      </c>
      <c r="J3" s="8"/>
      <c r="K3" s="8"/>
      <c r="L3" s="8"/>
      <c r="M3" s="8"/>
      <c r="N3" s="8"/>
      <c r="O3" s="8"/>
      <c r="P3" s="8"/>
    </row>
    <row r="4" spans="1:16" x14ac:dyDescent="0.25">
      <c r="B4" t="s">
        <v>22</v>
      </c>
      <c r="C4" t="s">
        <v>13</v>
      </c>
      <c r="D4" s="12">
        <v>12</v>
      </c>
      <c r="E4" t="s">
        <v>1</v>
      </c>
      <c r="F4" s="3" t="str">
        <f>(D)&amp;"cm"</f>
        <v>12cm</v>
      </c>
      <c r="J4" s="9" t="s">
        <v>2</v>
      </c>
      <c r="K4" s="9" t="s">
        <v>3</v>
      </c>
      <c r="L4" s="9" t="s">
        <v>37</v>
      </c>
      <c r="M4" s="9"/>
      <c r="N4" s="9" t="s">
        <v>28</v>
      </c>
    </row>
    <row r="5" spans="1:16" x14ac:dyDescent="0.25">
      <c r="B5" t="s">
        <v>23</v>
      </c>
      <c r="C5" t="s">
        <v>14</v>
      </c>
      <c r="D5" s="12">
        <v>100</v>
      </c>
      <c r="E5" t="s">
        <v>27</v>
      </c>
      <c r="F5" s="3" t="str">
        <f>(S)&amp;"cm"</f>
        <v>100cm</v>
      </c>
      <c r="G5">
        <v>100</v>
      </c>
      <c r="I5" s="10" t="s">
        <v>38</v>
      </c>
      <c r="J5" s="4">
        <f>MAX(F10:F1009)*100/D5</f>
        <v>854.86579799309027</v>
      </c>
      <c r="K5" s="4">
        <f>J5/60</f>
        <v>14.247763299884838</v>
      </c>
      <c r="L5" s="4">
        <f>K5/60</f>
        <v>0.2374627216647473</v>
      </c>
      <c r="N5" t="s">
        <v>29</v>
      </c>
    </row>
    <row r="6" spans="1:16" x14ac:dyDescent="0.25">
      <c r="B6" t="s">
        <v>24</v>
      </c>
      <c r="C6" t="s">
        <v>15</v>
      </c>
      <c r="D6" s="3">
        <f>D4*PI()</f>
        <v>37.699111843077517</v>
      </c>
      <c r="F6" s="3" t="str">
        <f>(TEXT(W,"0,0")&amp;"cm")</f>
        <v>37,7cm</v>
      </c>
      <c r="I6" s="10" t="s">
        <v>39</v>
      </c>
      <c r="J6" s="4">
        <f>PI()* ((L*100-(D/2) +(W/2))^2) / (W*S)</f>
        <v>854.88685244204862</v>
      </c>
      <c r="K6" s="4">
        <f>J6/60</f>
        <v>14.248114207367477</v>
      </c>
      <c r="L6" s="4">
        <f>K6/60</f>
        <v>0.23746857012279129</v>
      </c>
      <c r="N6" t="s">
        <v>21</v>
      </c>
    </row>
    <row r="8" spans="1:16" x14ac:dyDescent="0.25">
      <c r="E8" s="13" t="s">
        <v>18</v>
      </c>
      <c r="F8" s="13"/>
      <c r="I8" s="8" t="s">
        <v>40</v>
      </c>
    </row>
    <row r="9" spans="1:16" x14ac:dyDescent="0.25">
      <c r="C9" t="s">
        <v>16</v>
      </c>
      <c r="D9" t="s">
        <v>17</v>
      </c>
      <c r="E9" t="s">
        <v>16</v>
      </c>
      <c r="F9" t="s">
        <v>19</v>
      </c>
      <c r="I9" s="5" t="s">
        <v>35</v>
      </c>
    </row>
    <row r="10" spans="1:16" x14ac:dyDescent="0.25">
      <c r="C10">
        <v>1</v>
      </c>
      <c r="D10" s="1">
        <f>D3-D4/2/100</f>
        <v>9.94</v>
      </c>
      <c r="E10" s="1">
        <f>2*D10*PI()</f>
        <v>62.454861953365082</v>
      </c>
      <c r="F10" s="1">
        <f>SUM($E$10:E10)</f>
        <v>62.454861953365082</v>
      </c>
    </row>
    <row r="11" spans="1:16" x14ac:dyDescent="0.25">
      <c r="C11">
        <f>C10+1</f>
        <v>2</v>
      </c>
      <c r="D11" s="1">
        <f>D10-(PI()*$D$4/100)</f>
        <v>9.5630088815692247</v>
      </c>
      <c r="E11" s="1">
        <f t="shared" ref="E11:E74" si="0">2*D11*PI()</f>
        <v>60.086156897103642</v>
      </c>
      <c r="F11" s="1">
        <f>SUM($E$10:E11)</f>
        <v>122.54101885046873</v>
      </c>
    </row>
    <row r="12" spans="1:16" x14ac:dyDescent="0.25">
      <c r="C12">
        <f t="shared" ref="C12:C29" si="1">C11+1</f>
        <v>3</v>
      </c>
      <c r="D12" s="1">
        <f t="shared" ref="D12:D29" si="2">D11-(PI()*$D$4/100)</f>
        <v>9.1860177631384499</v>
      </c>
      <c r="E12" s="1">
        <f t="shared" si="0"/>
        <v>57.717451840842195</v>
      </c>
      <c r="F12" s="1">
        <f>SUM($E$10:E12)</f>
        <v>180.25847069131092</v>
      </c>
    </row>
    <row r="13" spans="1:16" x14ac:dyDescent="0.25">
      <c r="C13">
        <f t="shared" si="1"/>
        <v>4</v>
      </c>
      <c r="D13" s="1">
        <f t="shared" si="2"/>
        <v>8.809026644707675</v>
      </c>
      <c r="E13" s="1">
        <f t="shared" si="0"/>
        <v>55.348746784580754</v>
      </c>
      <c r="F13" s="1">
        <f>SUM($E$10:E13)</f>
        <v>235.60721747589167</v>
      </c>
    </row>
    <row r="14" spans="1:16" x14ac:dyDescent="0.25">
      <c r="C14">
        <f t="shared" si="1"/>
        <v>5</v>
      </c>
      <c r="D14" s="1">
        <f t="shared" si="2"/>
        <v>8.4320355262769002</v>
      </c>
      <c r="E14" s="1">
        <f t="shared" si="0"/>
        <v>52.980041728319307</v>
      </c>
      <c r="F14" s="1">
        <f>SUM($E$10:E14)</f>
        <v>288.58725920421097</v>
      </c>
    </row>
    <row r="15" spans="1:16" x14ac:dyDescent="0.25">
      <c r="C15">
        <f t="shared" si="1"/>
        <v>6</v>
      </c>
      <c r="D15" s="1">
        <f t="shared" si="2"/>
        <v>8.0550444078461254</v>
      </c>
      <c r="E15" s="1">
        <f t="shared" si="0"/>
        <v>50.611336672057867</v>
      </c>
      <c r="F15" s="1">
        <f>SUM($E$10:E15)</f>
        <v>339.19859587626883</v>
      </c>
    </row>
    <row r="16" spans="1:16" x14ac:dyDescent="0.25">
      <c r="C16">
        <f t="shared" si="1"/>
        <v>7</v>
      </c>
      <c r="D16" s="1">
        <f t="shared" si="2"/>
        <v>7.6780532894153506</v>
      </c>
      <c r="E16" s="1">
        <f t="shared" si="0"/>
        <v>48.242631615796419</v>
      </c>
      <c r="F16" s="1">
        <f>SUM($E$10:E16)</f>
        <v>387.44122749206525</v>
      </c>
    </row>
    <row r="17" spans="3:6" x14ac:dyDescent="0.25">
      <c r="C17">
        <f t="shared" si="1"/>
        <v>8</v>
      </c>
      <c r="D17" s="1">
        <f t="shared" si="2"/>
        <v>7.3010621709845758</v>
      </c>
      <c r="E17" s="1">
        <f t="shared" si="0"/>
        <v>45.873926559534979</v>
      </c>
      <c r="F17" s="1">
        <f>SUM($E$10:E17)</f>
        <v>433.31515405160025</v>
      </c>
    </row>
    <row r="18" spans="3:6" x14ac:dyDescent="0.25">
      <c r="C18">
        <f t="shared" si="1"/>
        <v>9</v>
      </c>
      <c r="D18" s="1">
        <f t="shared" si="2"/>
        <v>6.924071052553801</v>
      </c>
      <c r="E18" s="1">
        <f t="shared" si="0"/>
        <v>43.505221503273532</v>
      </c>
      <c r="F18" s="1">
        <f>SUM($E$10:E18)</f>
        <v>476.82037555487375</v>
      </c>
    </row>
    <row r="19" spans="3:6" x14ac:dyDescent="0.25">
      <c r="C19">
        <f t="shared" si="1"/>
        <v>10</v>
      </c>
      <c r="D19" s="1">
        <f t="shared" si="2"/>
        <v>6.5470799341230261</v>
      </c>
      <c r="E19" s="1">
        <f t="shared" si="0"/>
        <v>41.136516447012092</v>
      </c>
      <c r="F19" s="1">
        <f>SUM($E$10:E19)</f>
        <v>517.95689200188588</v>
      </c>
    </row>
    <row r="20" spans="3:6" x14ac:dyDescent="0.25">
      <c r="C20">
        <f t="shared" si="1"/>
        <v>11</v>
      </c>
      <c r="D20" s="1">
        <f t="shared" si="2"/>
        <v>6.1700888156922513</v>
      </c>
      <c r="E20" s="1">
        <f t="shared" si="0"/>
        <v>38.767811390750644</v>
      </c>
      <c r="F20" s="1">
        <f>SUM($E$10:E20)</f>
        <v>556.72470339263657</v>
      </c>
    </row>
    <row r="21" spans="3:6" x14ac:dyDescent="0.25">
      <c r="C21">
        <f t="shared" si="1"/>
        <v>12</v>
      </c>
      <c r="D21" s="1">
        <f t="shared" si="2"/>
        <v>5.7930976972614765</v>
      </c>
      <c r="E21" s="1">
        <f t="shared" si="0"/>
        <v>36.399106334489204</v>
      </c>
      <c r="F21" s="1">
        <f>SUM($E$10:E21)</f>
        <v>593.12380972712572</v>
      </c>
    </row>
    <row r="22" spans="3:6" x14ac:dyDescent="0.25">
      <c r="C22">
        <f t="shared" si="1"/>
        <v>13</v>
      </c>
      <c r="D22" s="1">
        <f t="shared" si="2"/>
        <v>5.4161065788307017</v>
      </c>
      <c r="E22" s="1">
        <f t="shared" si="0"/>
        <v>34.030401278227757</v>
      </c>
      <c r="F22" s="1">
        <f>SUM($E$10:E22)</f>
        <v>627.15421100535343</v>
      </c>
    </row>
    <row r="23" spans="3:6" x14ac:dyDescent="0.25">
      <c r="C23">
        <f t="shared" si="1"/>
        <v>14</v>
      </c>
      <c r="D23" s="1">
        <f t="shared" si="2"/>
        <v>5.0391154603999269</v>
      </c>
      <c r="E23" s="1">
        <f t="shared" si="0"/>
        <v>31.661696221966317</v>
      </c>
      <c r="F23" s="1">
        <f>SUM($E$10:E23)</f>
        <v>658.81590722731971</v>
      </c>
    </row>
    <row r="24" spans="3:6" x14ac:dyDescent="0.25">
      <c r="C24">
        <f t="shared" si="1"/>
        <v>15</v>
      </c>
      <c r="D24" s="1">
        <f t="shared" si="2"/>
        <v>4.662124341969152</v>
      </c>
      <c r="E24" s="1">
        <f t="shared" si="0"/>
        <v>29.292991165704873</v>
      </c>
      <c r="F24" s="1">
        <f>SUM($E$10:E24)</f>
        <v>688.10889839302456</v>
      </c>
    </row>
    <row r="25" spans="3:6" x14ac:dyDescent="0.25">
      <c r="C25">
        <f t="shared" si="1"/>
        <v>16</v>
      </c>
      <c r="D25" s="1">
        <f t="shared" si="2"/>
        <v>4.2851332235383772</v>
      </c>
      <c r="E25" s="1">
        <f t="shared" si="0"/>
        <v>26.924286109443429</v>
      </c>
      <c r="F25" s="1">
        <f>SUM($E$10:E25)</f>
        <v>715.03318450246798</v>
      </c>
    </row>
    <row r="26" spans="3:6" x14ac:dyDescent="0.25">
      <c r="C26">
        <f t="shared" si="1"/>
        <v>17</v>
      </c>
      <c r="D26" s="1">
        <f t="shared" si="2"/>
        <v>3.908142105107602</v>
      </c>
      <c r="E26" s="1">
        <f t="shared" si="0"/>
        <v>24.555581053181982</v>
      </c>
      <c r="F26" s="1">
        <f>SUM($E$10:E26)</f>
        <v>739.58876555564996</v>
      </c>
    </row>
    <row r="27" spans="3:6" x14ac:dyDescent="0.25">
      <c r="C27">
        <f t="shared" si="1"/>
        <v>18</v>
      </c>
      <c r="D27" s="1">
        <f t="shared" si="2"/>
        <v>3.5311509866768267</v>
      </c>
      <c r="E27" s="1">
        <f t="shared" si="0"/>
        <v>22.186875996920538</v>
      </c>
      <c r="F27" s="1">
        <f>SUM($E$10:E27)</f>
        <v>761.77564155257051</v>
      </c>
    </row>
    <row r="28" spans="3:6" x14ac:dyDescent="0.25">
      <c r="C28">
        <f t="shared" si="1"/>
        <v>19</v>
      </c>
      <c r="D28" s="1">
        <f t="shared" si="2"/>
        <v>3.1541598682460514</v>
      </c>
      <c r="E28" s="1">
        <f t="shared" si="0"/>
        <v>19.81817094065909</v>
      </c>
      <c r="F28" s="1">
        <f>SUM($E$10:E28)</f>
        <v>781.59381249322962</v>
      </c>
    </row>
    <row r="29" spans="3:6" x14ac:dyDescent="0.25">
      <c r="C29">
        <f t="shared" si="1"/>
        <v>20</v>
      </c>
      <c r="D29" s="1">
        <f t="shared" si="2"/>
        <v>2.7771687498152762</v>
      </c>
      <c r="E29" s="1">
        <f t="shared" si="0"/>
        <v>17.449465884397643</v>
      </c>
      <c r="F29" s="1">
        <f>SUM($E$10:E29)</f>
        <v>799.0432783776273</v>
      </c>
    </row>
    <row r="30" spans="3:6" x14ac:dyDescent="0.25">
      <c r="C30">
        <f t="shared" ref="C30:C93" si="3">C29+1</f>
        <v>21</v>
      </c>
      <c r="D30" s="1">
        <f t="shared" ref="D30:D93" si="4">D29-(PI()*$D$4/100)</f>
        <v>2.4001776313845009</v>
      </c>
      <c r="E30" s="1">
        <f t="shared" si="0"/>
        <v>15.080760828136198</v>
      </c>
      <c r="F30" s="1">
        <f>SUM($E$10:E30)</f>
        <v>814.12403920576355</v>
      </c>
    </row>
    <row r="31" spans="3:6" x14ac:dyDescent="0.25">
      <c r="C31">
        <f t="shared" si="3"/>
        <v>22</v>
      </c>
      <c r="D31" s="1">
        <f t="shared" si="4"/>
        <v>2.0231865129537256</v>
      </c>
      <c r="E31" s="1">
        <f t="shared" si="0"/>
        <v>12.71205577187475</v>
      </c>
      <c r="F31" s="1">
        <f>SUM($E$10:E31)</f>
        <v>826.83609497763825</v>
      </c>
    </row>
    <row r="32" spans="3:6" x14ac:dyDescent="0.25">
      <c r="C32">
        <f t="shared" si="3"/>
        <v>23</v>
      </c>
      <c r="D32" s="1">
        <f t="shared" si="4"/>
        <v>1.6461953945229504</v>
      </c>
      <c r="E32" s="1">
        <f t="shared" si="0"/>
        <v>10.343350715613305</v>
      </c>
      <c r="F32" s="1">
        <f>SUM($E$10:E32)</f>
        <v>837.17944569325152</v>
      </c>
    </row>
    <row r="33" spans="3:6" x14ac:dyDescent="0.25">
      <c r="C33">
        <f t="shared" si="3"/>
        <v>24</v>
      </c>
      <c r="D33" s="1">
        <f t="shared" si="4"/>
        <v>1.2692042760921751</v>
      </c>
      <c r="E33" s="1">
        <f t="shared" si="0"/>
        <v>7.9746456593518573</v>
      </c>
      <c r="F33" s="1">
        <f>SUM($E$10:E33)</f>
        <v>845.15409135260336</v>
      </c>
    </row>
    <row r="34" spans="3:6" x14ac:dyDescent="0.25">
      <c r="C34">
        <f t="shared" si="3"/>
        <v>25</v>
      </c>
      <c r="D34" s="1">
        <f t="shared" si="4"/>
        <v>0.89221315766139997</v>
      </c>
      <c r="E34" s="1">
        <f t="shared" si="0"/>
        <v>5.6059406030904118</v>
      </c>
      <c r="F34" s="1">
        <f>SUM($E$10:E34)</f>
        <v>850.76003195569376</v>
      </c>
    </row>
    <row r="35" spans="3:6" x14ac:dyDescent="0.25">
      <c r="C35">
        <f t="shared" si="3"/>
        <v>26</v>
      </c>
      <c r="D35" s="1">
        <f t="shared" si="4"/>
        <v>0.51522203923062482</v>
      </c>
      <c r="E35" s="1">
        <f t="shared" si="0"/>
        <v>3.2372355468289662</v>
      </c>
      <c r="F35" s="1">
        <f>SUM($E$10:E35)</f>
        <v>853.99726750252273</v>
      </c>
    </row>
    <row r="36" spans="3:6" x14ac:dyDescent="0.25">
      <c r="C36">
        <f t="shared" si="3"/>
        <v>27</v>
      </c>
      <c r="D36" s="1">
        <f t="shared" si="4"/>
        <v>0.13823092079984967</v>
      </c>
      <c r="E36" s="1">
        <f t="shared" si="0"/>
        <v>0.86853049056752052</v>
      </c>
      <c r="F36" s="1">
        <f>SUM($E$10:E36)</f>
        <v>854.86579799309027</v>
      </c>
    </row>
    <row r="37" spans="3:6" x14ac:dyDescent="0.25">
      <c r="C37">
        <f t="shared" si="3"/>
        <v>28</v>
      </c>
      <c r="D37" s="1">
        <f t="shared" si="4"/>
        <v>-0.23876019763092549</v>
      </c>
      <c r="E37" s="1">
        <f t="shared" si="0"/>
        <v>-1.5001745656939252</v>
      </c>
      <c r="F37" s="1">
        <f>SUM($E$10:E37)</f>
        <v>853.36562342739637</v>
      </c>
    </row>
    <row r="38" spans="3:6" x14ac:dyDescent="0.25">
      <c r="C38">
        <f t="shared" si="3"/>
        <v>29</v>
      </c>
      <c r="D38" s="1">
        <f t="shared" si="4"/>
        <v>-0.61575131606170064</v>
      </c>
      <c r="E38" s="1">
        <f t="shared" si="0"/>
        <v>-3.8688796219553709</v>
      </c>
      <c r="F38" s="1">
        <f>SUM($E$10:E38)</f>
        <v>849.49674380544104</v>
      </c>
    </row>
    <row r="39" spans="3:6" x14ac:dyDescent="0.25">
      <c r="C39">
        <f t="shared" si="3"/>
        <v>30</v>
      </c>
      <c r="D39" s="1">
        <f t="shared" si="4"/>
        <v>-0.99274243449247579</v>
      </c>
      <c r="E39" s="1">
        <f t="shared" si="0"/>
        <v>-6.2375846782168169</v>
      </c>
      <c r="F39" s="1">
        <f>SUM($E$10:E39)</f>
        <v>843.25915912722428</v>
      </c>
    </row>
    <row r="40" spans="3:6" x14ac:dyDescent="0.25">
      <c r="C40">
        <f t="shared" si="3"/>
        <v>31</v>
      </c>
      <c r="D40" s="1">
        <f t="shared" si="4"/>
        <v>-1.3697335529232508</v>
      </c>
      <c r="E40" s="1">
        <f t="shared" si="0"/>
        <v>-8.6062897344782616</v>
      </c>
      <c r="F40" s="1">
        <f>SUM($E$10:E40)</f>
        <v>834.65286939274597</v>
      </c>
    </row>
    <row r="41" spans="3:6" x14ac:dyDescent="0.25">
      <c r="C41">
        <f t="shared" si="3"/>
        <v>32</v>
      </c>
      <c r="D41" s="1">
        <f t="shared" si="4"/>
        <v>-1.7467246713540261</v>
      </c>
      <c r="E41" s="1">
        <f t="shared" si="0"/>
        <v>-10.974994790739709</v>
      </c>
      <c r="F41" s="1">
        <f>SUM($E$10:E41)</f>
        <v>823.67787460200623</v>
      </c>
    </row>
    <row r="42" spans="3:6" x14ac:dyDescent="0.25">
      <c r="C42">
        <f t="shared" si="3"/>
        <v>33</v>
      </c>
      <c r="D42" s="1">
        <f t="shared" si="4"/>
        <v>-2.1237157897848014</v>
      </c>
      <c r="E42" s="1">
        <f t="shared" si="0"/>
        <v>-13.343699847001155</v>
      </c>
      <c r="F42" s="1">
        <f>SUM($E$10:E42)</f>
        <v>810.33417475500505</v>
      </c>
    </row>
    <row r="43" spans="3:6" x14ac:dyDescent="0.25">
      <c r="C43">
        <f t="shared" si="3"/>
        <v>34</v>
      </c>
      <c r="D43" s="1">
        <f t="shared" si="4"/>
        <v>-2.5007069082155766</v>
      </c>
      <c r="E43" s="1">
        <f t="shared" si="0"/>
        <v>-15.712404903262602</v>
      </c>
      <c r="F43" s="1">
        <f>SUM($E$10:E43)</f>
        <v>794.62176985174244</v>
      </c>
    </row>
    <row r="44" spans="3:6" x14ac:dyDescent="0.25">
      <c r="C44">
        <f t="shared" si="3"/>
        <v>35</v>
      </c>
      <c r="D44" s="1">
        <f t="shared" si="4"/>
        <v>-2.8776980266463519</v>
      </c>
      <c r="E44" s="1">
        <f t="shared" si="0"/>
        <v>-18.081109959524049</v>
      </c>
      <c r="F44" s="1">
        <f>SUM($E$10:E44)</f>
        <v>776.5406598922184</v>
      </c>
    </row>
    <row r="45" spans="3:6" x14ac:dyDescent="0.25">
      <c r="C45">
        <f t="shared" si="3"/>
        <v>36</v>
      </c>
      <c r="D45" s="1">
        <f t="shared" si="4"/>
        <v>-3.2546891450771271</v>
      </c>
      <c r="E45" s="1">
        <f t="shared" si="0"/>
        <v>-20.449815015785493</v>
      </c>
      <c r="F45" s="1">
        <f>SUM($E$10:E45)</f>
        <v>756.09084487643293</v>
      </c>
    </row>
    <row r="46" spans="3:6" x14ac:dyDescent="0.25">
      <c r="C46">
        <f t="shared" si="3"/>
        <v>37</v>
      </c>
      <c r="D46" s="1">
        <f t="shared" si="4"/>
        <v>-3.6316802635079024</v>
      </c>
      <c r="E46" s="1">
        <f t="shared" si="0"/>
        <v>-22.81852007204694</v>
      </c>
      <c r="F46" s="1">
        <f>SUM($E$10:E46)</f>
        <v>733.27232480438602</v>
      </c>
    </row>
    <row r="47" spans="3:6" x14ac:dyDescent="0.25">
      <c r="C47">
        <f t="shared" si="3"/>
        <v>38</v>
      </c>
      <c r="D47" s="1">
        <f t="shared" si="4"/>
        <v>-4.0086713819386777</v>
      </c>
      <c r="E47" s="1">
        <f t="shared" si="0"/>
        <v>-25.187225128308388</v>
      </c>
      <c r="F47" s="1">
        <f>SUM($E$10:E47)</f>
        <v>708.08509967607768</v>
      </c>
    </row>
    <row r="48" spans="3:6" x14ac:dyDescent="0.25">
      <c r="C48">
        <f t="shared" si="3"/>
        <v>39</v>
      </c>
      <c r="D48" s="1">
        <f t="shared" si="4"/>
        <v>-4.3856625003694525</v>
      </c>
      <c r="E48" s="1">
        <f t="shared" si="0"/>
        <v>-27.555930184569831</v>
      </c>
      <c r="F48" s="1">
        <f>SUM($E$10:E48)</f>
        <v>680.5291694915079</v>
      </c>
    </row>
    <row r="49" spans="3:6" x14ac:dyDescent="0.25">
      <c r="C49">
        <f t="shared" si="3"/>
        <v>40</v>
      </c>
      <c r="D49" s="1">
        <f t="shared" si="4"/>
        <v>-4.7626536188002273</v>
      </c>
      <c r="E49" s="1">
        <f t="shared" si="0"/>
        <v>-29.924635240831275</v>
      </c>
      <c r="F49" s="1">
        <f>SUM($E$10:E49)</f>
        <v>650.60453425067658</v>
      </c>
    </row>
    <row r="50" spans="3:6" x14ac:dyDescent="0.25">
      <c r="C50">
        <f t="shared" si="3"/>
        <v>41</v>
      </c>
      <c r="D50" s="1">
        <f t="shared" si="4"/>
        <v>-5.1396447372310021</v>
      </c>
      <c r="E50" s="1">
        <f t="shared" si="0"/>
        <v>-32.293340297092719</v>
      </c>
      <c r="F50" s="1">
        <f>SUM($E$10:E50)</f>
        <v>618.31119395358382</v>
      </c>
    </row>
    <row r="51" spans="3:6" x14ac:dyDescent="0.25">
      <c r="C51">
        <f t="shared" si="3"/>
        <v>42</v>
      </c>
      <c r="D51" s="1">
        <f t="shared" si="4"/>
        <v>-5.5166358556617769</v>
      </c>
      <c r="E51" s="1">
        <f t="shared" si="0"/>
        <v>-34.662045353354159</v>
      </c>
      <c r="F51" s="1">
        <f>SUM($E$10:E51)</f>
        <v>583.64914860022964</v>
      </c>
    </row>
    <row r="52" spans="3:6" x14ac:dyDescent="0.25">
      <c r="C52">
        <f t="shared" si="3"/>
        <v>43</v>
      </c>
      <c r="D52" s="1">
        <f t="shared" si="4"/>
        <v>-5.8936269740925518</v>
      </c>
      <c r="E52" s="1">
        <f t="shared" si="0"/>
        <v>-37.030750409615607</v>
      </c>
      <c r="F52" s="1">
        <f>SUM($E$10:E52)</f>
        <v>546.61839819061402</v>
      </c>
    </row>
    <row r="53" spans="3:6" x14ac:dyDescent="0.25">
      <c r="C53">
        <f t="shared" si="3"/>
        <v>44</v>
      </c>
      <c r="D53" s="1">
        <f t="shared" si="4"/>
        <v>-6.2706180925233266</v>
      </c>
      <c r="E53" s="1">
        <f t="shared" si="0"/>
        <v>-39.399455465877047</v>
      </c>
      <c r="F53" s="1">
        <f>SUM($E$10:E53)</f>
        <v>507.21894272473696</v>
      </c>
    </row>
    <row r="54" spans="3:6" x14ac:dyDescent="0.25">
      <c r="C54">
        <f t="shared" si="3"/>
        <v>45</v>
      </c>
      <c r="D54" s="1">
        <f t="shared" si="4"/>
        <v>-6.6476092109541014</v>
      </c>
      <c r="E54" s="1">
        <f t="shared" si="0"/>
        <v>-41.768160522138494</v>
      </c>
      <c r="F54" s="1">
        <f>SUM($E$10:E54)</f>
        <v>465.45078220259848</v>
      </c>
    </row>
    <row r="55" spans="3:6" x14ac:dyDescent="0.25">
      <c r="C55">
        <f t="shared" si="3"/>
        <v>46</v>
      </c>
      <c r="D55" s="1">
        <f t="shared" si="4"/>
        <v>-7.0246003293848762</v>
      </c>
      <c r="E55" s="1">
        <f t="shared" si="0"/>
        <v>-44.136865578399934</v>
      </c>
      <c r="F55" s="1">
        <f>SUM($E$10:E55)</f>
        <v>421.31391662419855</v>
      </c>
    </row>
    <row r="56" spans="3:6" x14ac:dyDescent="0.25">
      <c r="C56">
        <f t="shared" si="3"/>
        <v>47</v>
      </c>
      <c r="D56" s="1">
        <f t="shared" si="4"/>
        <v>-7.401591447815651</v>
      </c>
      <c r="E56" s="1">
        <f t="shared" si="0"/>
        <v>-46.505570634661382</v>
      </c>
      <c r="F56" s="1">
        <f>SUM($E$10:E56)</f>
        <v>374.8083459895372</v>
      </c>
    </row>
    <row r="57" spans="3:6" x14ac:dyDescent="0.25">
      <c r="C57">
        <f t="shared" si="3"/>
        <v>48</v>
      </c>
      <c r="D57" s="1">
        <f t="shared" si="4"/>
        <v>-7.7785825662464259</v>
      </c>
      <c r="E57" s="1">
        <f t="shared" si="0"/>
        <v>-48.874275690922822</v>
      </c>
      <c r="F57" s="1">
        <f>SUM($E$10:E57)</f>
        <v>325.93407029861436</v>
      </c>
    </row>
    <row r="58" spans="3:6" x14ac:dyDescent="0.25">
      <c r="C58">
        <f t="shared" si="3"/>
        <v>49</v>
      </c>
      <c r="D58" s="1">
        <f t="shared" si="4"/>
        <v>-8.1555736846772007</v>
      </c>
      <c r="E58" s="1">
        <f t="shared" si="0"/>
        <v>-51.242980747184269</v>
      </c>
      <c r="F58" s="1">
        <f>SUM($E$10:E58)</f>
        <v>274.69108955143008</v>
      </c>
    </row>
    <row r="59" spans="3:6" x14ac:dyDescent="0.25">
      <c r="C59">
        <f t="shared" si="3"/>
        <v>50</v>
      </c>
      <c r="D59" s="1">
        <f t="shared" si="4"/>
        <v>-8.5325648031079755</v>
      </c>
      <c r="E59" s="1">
        <f t="shared" si="0"/>
        <v>-53.61168580344571</v>
      </c>
      <c r="F59" s="1">
        <f>SUM($E$10:E59)</f>
        <v>221.07940374798437</v>
      </c>
    </row>
    <row r="60" spans="3:6" x14ac:dyDescent="0.25">
      <c r="C60">
        <f t="shared" si="3"/>
        <v>51</v>
      </c>
      <c r="D60" s="1">
        <f t="shared" si="4"/>
        <v>-8.9095559215387503</v>
      </c>
      <c r="E60" s="1">
        <f t="shared" si="0"/>
        <v>-55.980390859707157</v>
      </c>
      <c r="F60" s="1">
        <f>SUM($E$10:E60)</f>
        <v>165.09901288827723</v>
      </c>
    </row>
    <row r="61" spans="3:6" x14ac:dyDescent="0.25">
      <c r="C61">
        <f t="shared" si="3"/>
        <v>52</v>
      </c>
      <c r="D61" s="1">
        <f t="shared" si="4"/>
        <v>-9.2865470399695251</v>
      </c>
      <c r="E61" s="1">
        <f t="shared" si="0"/>
        <v>-58.349095915968597</v>
      </c>
      <c r="F61" s="1">
        <f>SUM($E$10:E61)</f>
        <v>106.74991697230863</v>
      </c>
    </row>
    <row r="62" spans="3:6" x14ac:dyDescent="0.25">
      <c r="C62">
        <f t="shared" si="3"/>
        <v>53</v>
      </c>
      <c r="D62" s="1">
        <f t="shared" si="4"/>
        <v>-9.6635381584002999</v>
      </c>
      <c r="E62" s="1">
        <f t="shared" si="0"/>
        <v>-60.717800972230044</v>
      </c>
      <c r="F62" s="1">
        <f>SUM($E$10:E62)</f>
        <v>46.032116000078581</v>
      </c>
    </row>
    <row r="63" spans="3:6" x14ac:dyDescent="0.25">
      <c r="C63">
        <f t="shared" si="3"/>
        <v>54</v>
      </c>
      <c r="D63" s="1">
        <f t="shared" si="4"/>
        <v>-10.040529276831075</v>
      </c>
      <c r="E63" s="1">
        <f t="shared" si="0"/>
        <v>-63.086506028491485</v>
      </c>
      <c r="F63" s="1">
        <f>SUM($E$10:E63)</f>
        <v>-17.054390028412904</v>
      </c>
    </row>
    <row r="64" spans="3:6" x14ac:dyDescent="0.25">
      <c r="C64">
        <f t="shared" si="3"/>
        <v>55</v>
      </c>
      <c r="D64" s="1">
        <f t="shared" si="4"/>
        <v>-10.41752039526185</v>
      </c>
      <c r="E64" s="1">
        <f t="shared" si="0"/>
        <v>-65.455211084752932</v>
      </c>
      <c r="F64" s="1">
        <f>SUM($E$10:E64)</f>
        <v>-82.509601113165843</v>
      </c>
    </row>
    <row r="65" spans="3:6" x14ac:dyDescent="0.25">
      <c r="C65">
        <f t="shared" si="3"/>
        <v>56</v>
      </c>
      <c r="D65" s="1">
        <f t="shared" si="4"/>
        <v>-10.794511513692624</v>
      </c>
      <c r="E65" s="1">
        <f t="shared" si="0"/>
        <v>-67.823916141014379</v>
      </c>
      <c r="F65" s="1">
        <f>SUM($E$10:E65)</f>
        <v>-150.33351725418021</v>
      </c>
    </row>
    <row r="66" spans="3:6" x14ac:dyDescent="0.25">
      <c r="C66">
        <f t="shared" si="3"/>
        <v>57</v>
      </c>
      <c r="D66" s="1">
        <f t="shared" si="4"/>
        <v>-11.171502632123399</v>
      </c>
      <c r="E66" s="1">
        <f t="shared" si="0"/>
        <v>-70.192621197275813</v>
      </c>
      <c r="F66" s="1">
        <f>SUM($E$10:E66)</f>
        <v>-220.52613845145601</v>
      </c>
    </row>
    <row r="67" spans="3:6" x14ac:dyDescent="0.25">
      <c r="C67">
        <f t="shared" si="3"/>
        <v>58</v>
      </c>
      <c r="D67" s="1">
        <f t="shared" si="4"/>
        <v>-11.548493750554174</v>
      </c>
      <c r="E67" s="1">
        <f t="shared" si="0"/>
        <v>-72.56132625353726</v>
      </c>
      <c r="F67" s="1">
        <f>SUM($E$10:E67)</f>
        <v>-293.08746470499329</v>
      </c>
    </row>
    <row r="68" spans="3:6" x14ac:dyDescent="0.25">
      <c r="C68">
        <f t="shared" si="3"/>
        <v>59</v>
      </c>
      <c r="D68" s="1">
        <f t="shared" si="4"/>
        <v>-11.925484868984949</v>
      </c>
      <c r="E68" s="1">
        <f t="shared" si="0"/>
        <v>-74.930031309798707</v>
      </c>
      <c r="F68" s="1">
        <f>SUM($E$10:E68)</f>
        <v>-368.01749601479202</v>
      </c>
    </row>
    <row r="69" spans="3:6" x14ac:dyDescent="0.25">
      <c r="C69">
        <f t="shared" si="3"/>
        <v>60</v>
      </c>
      <c r="D69" s="1">
        <f t="shared" si="4"/>
        <v>-12.302475987415724</v>
      </c>
      <c r="E69" s="1">
        <f t="shared" si="0"/>
        <v>-77.29873636606014</v>
      </c>
      <c r="F69" s="1">
        <f>SUM($E$10:E69)</f>
        <v>-445.31623238085217</v>
      </c>
    </row>
    <row r="70" spans="3:6" x14ac:dyDescent="0.25">
      <c r="C70">
        <f t="shared" si="3"/>
        <v>61</v>
      </c>
      <c r="D70" s="1">
        <f t="shared" si="4"/>
        <v>-12.679467105846498</v>
      </c>
      <c r="E70" s="1">
        <f t="shared" si="0"/>
        <v>-79.667441422321588</v>
      </c>
      <c r="F70" s="1">
        <f>SUM($E$10:E70)</f>
        <v>-524.98367380317382</v>
      </c>
    </row>
    <row r="71" spans="3:6" x14ac:dyDescent="0.25">
      <c r="C71">
        <f t="shared" si="3"/>
        <v>62</v>
      </c>
      <c r="D71" s="1">
        <f t="shared" si="4"/>
        <v>-13.056458224277273</v>
      </c>
      <c r="E71" s="1">
        <f t="shared" si="0"/>
        <v>-82.036146478583035</v>
      </c>
      <c r="F71" s="1">
        <f>SUM($E$10:E71)</f>
        <v>-607.01982028175689</v>
      </c>
    </row>
    <row r="72" spans="3:6" x14ac:dyDescent="0.25">
      <c r="C72">
        <f t="shared" si="3"/>
        <v>63</v>
      </c>
      <c r="D72" s="1">
        <f t="shared" si="4"/>
        <v>-13.433449342708048</v>
      </c>
      <c r="E72" s="1">
        <f t="shared" si="0"/>
        <v>-84.404851534844482</v>
      </c>
      <c r="F72" s="1">
        <f>SUM($E$10:E72)</f>
        <v>-691.4246718166014</v>
      </c>
    </row>
    <row r="73" spans="3:6" x14ac:dyDescent="0.25">
      <c r="C73">
        <f t="shared" si="3"/>
        <v>64</v>
      </c>
      <c r="D73" s="1">
        <f t="shared" si="4"/>
        <v>-13.810440461138823</v>
      </c>
      <c r="E73" s="1">
        <f t="shared" si="0"/>
        <v>-86.773556591105915</v>
      </c>
      <c r="F73" s="1">
        <f>SUM($E$10:E73)</f>
        <v>-778.19822840770735</v>
      </c>
    </row>
    <row r="74" spans="3:6" x14ac:dyDescent="0.25">
      <c r="C74">
        <f t="shared" si="3"/>
        <v>65</v>
      </c>
      <c r="D74" s="1">
        <f t="shared" si="4"/>
        <v>-14.187431579569598</v>
      </c>
      <c r="E74" s="1">
        <f t="shared" si="0"/>
        <v>-89.142261647367363</v>
      </c>
      <c r="F74" s="1">
        <f>SUM($E$10:E74)</f>
        <v>-867.34049005507472</v>
      </c>
    </row>
    <row r="75" spans="3:6" x14ac:dyDescent="0.25">
      <c r="C75">
        <f t="shared" si="3"/>
        <v>66</v>
      </c>
      <c r="D75" s="1">
        <f t="shared" si="4"/>
        <v>-14.564422698000373</v>
      </c>
      <c r="E75" s="1">
        <f t="shared" ref="E75:E138" si="5">2*D75*PI()</f>
        <v>-91.51096670362881</v>
      </c>
      <c r="F75" s="1">
        <f>SUM($E$10:E75)</f>
        <v>-958.85145675870353</v>
      </c>
    </row>
    <row r="76" spans="3:6" x14ac:dyDescent="0.25">
      <c r="C76">
        <f t="shared" si="3"/>
        <v>67</v>
      </c>
      <c r="D76" s="1">
        <f t="shared" si="4"/>
        <v>-14.941413816431147</v>
      </c>
      <c r="E76" s="1">
        <f t="shared" si="5"/>
        <v>-93.879671759890257</v>
      </c>
      <c r="F76" s="1">
        <f>SUM($E$10:E76)</f>
        <v>-1052.7311285185938</v>
      </c>
    </row>
    <row r="77" spans="3:6" x14ac:dyDescent="0.25">
      <c r="C77">
        <f t="shared" si="3"/>
        <v>68</v>
      </c>
      <c r="D77" s="1">
        <f t="shared" si="4"/>
        <v>-15.318404934861922</v>
      </c>
      <c r="E77" s="1">
        <f t="shared" si="5"/>
        <v>-96.248376816151691</v>
      </c>
      <c r="F77" s="1">
        <f>SUM($E$10:E77)</f>
        <v>-1148.9795053347455</v>
      </c>
    </row>
    <row r="78" spans="3:6" x14ac:dyDescent="0.25">
      <c r="C78">
        <f t="shared" si="3"/>
        <v>69</v>
      </c>
      <c r="D78" s="1">
        <f t="shared" si="4"/>
        <v>-15.695396053292697</v>
      </c>
      <c r="E78" s="1">
        <f t="shared" si="5"/>
        <v>-98.617081872413138</v>
      </c>
      <c r="F78" s="1">
        <f>SUM($E$10:E78)</f>
        <v>-1247.5965872071586</v>
      </c>
    </row>
    <row r="79" spans="3:6" x14ac:dyDescent="0.25">
      <c r="C79">
        <f t="shared" si="3"/>
        <v>70</v>
      </c>
      <c r="D79" s="1">
        <f t="shared" si="4"/>
        <v>-16.072387171723474</v>
      </c>
      <c r="E79" s="1">
        <f t="shared" si="5"/>
        <v>-100.9857869286746</v>
      </c>
      <c r="F79" s="1">
        <f>SUM($E$10:E79)</f>
        <v>-1348.5823741358331</v>
      </c>
    </row>
    <row r="80" spans="3:6" x14ac:dyDescent="0.25">
      <c r="C80">
        <f t="shared" si="3"/>
        <v>71</v>
      </c>
      <c r="D80" s="1">
        <f t="shared" si="4"/>
        <v>-16.44937829015425</v>
      </c>
      <c r="E80" s="1">
        <f t="shared" si="5"/>
        <v>-103.35449198493605</v>
      </c>
      <c r="F80" s="1">
        <f>SUM($E$10:E80)</f>
        <v>-1451.9368661207691</v>
      </c>
    </row>
    <row r="81" spans="3:6" x14ac:dyDescent="0.25">
      <c r="C81">
        <f t="shared" si="3"/>
        <v>72</v>
      </c>
      <c r="D81" s="1">
        <f t="shared" si="4"/>
        <v>-16.826369408585027</v>
      </c>
      <c r="E81" s="1">
        <f t="shared" si="5"/>
        <v>-105.72319704119751</v>
      </c>
      <c r="F81" s="1">
        <f>SUM($E$10:E81)</f>
        <v>-1557.6600631619665</v>
      </c>
    </row>
    <row r="82" spans="3:6" x14ac:dyDescent="0.25">
      <c r="C82">
        <f t="shared" si="3"/>
        <v>73</v>
      </c>
      <c r="D82" s="1">
        <f t="shared" si="4"/>
        <v>-17.203360527015803</v>
      </c>
      <c r="E82" s="1">
        <f t="shared" si="5"/>
        <v>-108.09190209745896</v>
      </c>
      <c r="F82" s="1">
        <f>SUM($E$10:E82)</f>
        <v>-1665.7519652594256</v>
      </c>
    </row>
    <row r="83" spans="3:6" x14ac:dyDescent="0.25">
      <c r="C83">
        <f t="shared" si="3"/>
        <v>74</v>
      </c>
      <c r="D83" s="1">
        <f t="shared" si="4"/>
        <v>-17.58035164544658</v>
      </c>
      <c r="E83" s="1">
        <f t="shared" si="5"/>
        <v>-110.46060715372042</v>
      </c>
      <c r="F83" s="1">
        <f>SUM($E$10:E83)</f>
        <v>-1776.2125724131461</v>
      </c>
    </row>
    <row r="84" spans="3:6" x14ac:dyDescent="0.25">
      <c r="C84">
        <f t="shared" si="3"/>
        <v>75</v>
      </c>
      <c r="D84" s="1">
        <f t="shared" si="4"/>
        <v>-17.957342763877357</v>
      </c>
      <c r="E84" s="1">
        <f t="shared" si="5"/>
        <v>-112.82931220998186</v>
      </c>
      <c r="F84" s="1">
        <f>SUM($E$10:E84)</f>
        <v>-1889.041884623128</v>
      </c>
    </row>
    <row r="85" spans="3:6" x14ac:dyDescent="0.25">
      <c r="C85">
        <f t="shared" si="3"/>
        <v>76</v>
      </c>
      <c r="D85" s="1">
        <f t="shared" si="4"/>
        <v>-18.334333882308133</v>
      </c>
      <c r="E85" s="1">
        <f t="shared" si="5"/>
        <v>-115.19801726624333</v>
      </c>
      <c r="F85" s="1">
        <f>SUM($E$10:E85)</f>
        <v>-2004.2399018893714</v>
      </c>
    </row>
    <row r="86" spans="3:6" x14ac:dyDescent="0.25">
      <c r="C86">
        <f t="shared" si="3"/>
        <v>77</v>
      </c>
      <c r="D86" s="1">
        <f t="shared" si="4"/>
        <v>-18.71132500073891</v>
      </c>
      <c r="E86" s="1">
        <f t="shared" si="5"/>
        <v>-117.56672232250477</v>
      </c>
      <c r="F86" s="1">
        <f>SUM($E$10:E86)</f>
        <v>-2121.8066242118762</v>
      </c>
    </row>
    <row r="87" spans="3:6" x14ac:dyDescent="0.25">
      <c r="C87">
        <f t="shared" si="3"/>
        <v>78</v>
      </c>
      <c r="D87" s="1">
        <f t="shared" si="4"/>
        <v>-19.088316119169686</v>
      </c>
      <c r="E87" s="1">
        <f t="shared" si="5"/>
        <v>-119.93542737876624</v>
      </c>
      <c r="F87" s="1">
        <f>SUM($E$10:E87)</f>
        <v>-2241.7420515906424</v>
      </c>
    </row>
    <row r="88" spans="3:6" x14ac:dyDescent="0.25">
      <c r="C88">
        <f t="shared" si="3"/>
        <v>79</v>
      </c>
      <c r="D88" s="1">
        <f t="shared" si="4"/>
        <v>-19.465307237600463</v>
      </c>
      <c r="E88" s="1">
        <f t="shared" si="5"/>
        <v>-122.30413243502768</v>
      </c>
      <c r="F88" s="1">
        <f>SUM($E$10:E88)</f>
        <v>-2364.0461840256703</v>
      </c>
    </row>
    <row r="89" spans="3:6" x14ac:dyDescent="0.25">
      <c r="C89">
        <f t="shared" si="3"/>
        <v>80</v>
      </c>
      <c r="D89" s="1">
        <f t="shared" si="4"/>
        <v>-19.84229835603124</v>
      </c>
      <c r="E89" s="1">
        <f t="shared" si="5"/>
        <v>-124.67283749128914</v>
      </c>
      <c r="F89" s="1">
        <f>SUM($E$10:E89)</f>
        <v>-2488.7190215169594</v>
      </c>
    </row>
    <row r="90" spans="3:6" x14ac:dyDescent="0.25">
      <c r="C90">
        <f t="shared" si="3"/>
        <v>81</v>
      </c>
      <c r="D90" s="1">
        <f t="shared" si="4"/>
        <v>-20.219289474462016</v>
      </c>
      <c r="E90" s="1">
        <f t="shared" si="5"/>
        <v>-127.04154254755059</v>
      </c>
      <c r="F90" s="1">
        <f>SUM($E$10:E90)</f>
        <v>-2615.7605640645102</v>
      </c>
    </row>
    <row r="91" spans="3:6" x14ac:dyDescent="0.25">
      <c r="C91">
        <f t="shared" si="3"/>
        <v>82</v>
      </c>
      <c r="D91" s="1">
        <f t="shared" si="4"/>
        <v>-20.596280592892793</v>
      </c>
      <c r="E91" s="1">
        <f t="shared" si="5"/>
        <v>-129.41024760381205</v>
      </c>
      <c r="F91" s="1">
        <f>SUM($E$10:E91)</f>
        <v>-2745.1708116683221</v>
      </c>
    </row>
    <row r="92" spans="3:6" x14ac:dyDescent="0.25">
      <c r="C92">
        <f t="shared" si="3"/>
        <v>83</v>
      </c>
      <c r="D92" s="1">
        <f t="shared" si="4"/>
        <v>-20.973271711323569</v>
      </c>
      <c r="E92" s="1">
        <f t="shared" si="5"/>
        <v>-131.77895266007351</v>
      </c>
      <c r="F92" s="1">
        <f>SUM($E$10:E92)</f>
        <v>-2876.9497643283958</v>
      </c>
    </row>
    <row r="93" spans="3:6" x14ac:dyDescent="0.25">
      <c r="C93">
        <f t="shared" si="3"/>
        <v>84</v>
      </c>
      <c r="D93" s="1">
        <f t="shared" si="4"/>
        <v>-21.350262829754346</v>
      </c>
      <c r="E93" s="1">
        <f t="shared" si="5"/>
        <v>-134.14765771633498</v>
      </c>
      <c r="F93" s="1">
        <f>SUM($E$10:E93)</f>
        <v>-3011.0974220447306</v>
      </c>
    </row>
    <row r="94" spans="3:6" x14ac:dyDescent="0.25">
      <c r="C94">
        <f t="shared" ref="C94:C157" si="6">C93+1</f>
        <v>85</v>
      </c>
      <c r="D94" s="1">
        <f t="shared" ref="D94:D157" si="7">D93-(PI()*$D$4/100)</f>
        <v>-21.727253948185123</v>
      </c>
      <c r="E94" s="1">
        <f t="shared" si="5"/>
        <v>-136.51636277259641</v>
      </c>
      <c r="F94" s="1">
        <f>SUM($E$10:E94)</f>
        <v>-3147.6137848173271</v>
      </c>
    </row>
    <row r="95" spans="3:6" x14ac:dyDescent="0.25">
      <c r="C95">
        <f t="shared" si="6"/>
        <v>86</v>
      </c>
      <c r="D95" s="1">
        <f t="shared" si="7"/>
        <v>-22.104245066615899</v>
      </c>
      <c r="E95" s="1">
        <f t="shared" si="5"/>
        <v>-138.88506782885787</v>
      </c>
      <c r="F95" s="1">
        <f>SUM($E$10:E95)</f>
        <v>-3286.4988526461848</v>
      </c>
    </row>
    <row r="96" spans="3:6" x14ac:dyDescent="0.25">
      <c r="C96">
        <f t="shared" si="6"/>
        <v>87</v>
      </c>
      <c r="D96" s="1">
        <f t="shared" si="7"/>
        <v>-22.481236185046676</v>
      </c>
      <c r="E96" s="1">
        <f t="shared" si="5"/>
        <v>-141.25377288511933</v>
      </c>
      <c r="F96" s="1">
        <f>SUM($E$10:E96)</f>
        <v>-3427.7526255313041</v>
      </c>
    </row>
    <row r="97" spans="3:6" x14ac:dyDescent="0.25">
      <c r="C97">
        <f t="shared" si="6"/>
        <v>88</v>
      </c>
      <c r="D97" s="1">
        <f t="shared" si="7"/>
        <v>-22.858227303477452</v>
      </c>
      <c r="E97" s="1">
        <f t="shared" si="5"/>
        <v>-143.62247794138079</v>
      </c>
      <c r="F97" s="1">
        <f>SUM($E$10:E97)</f>
        <v>-3571.3751034726847</v>
      </c>
    </row>
    <row r="98" spans="3:6" x14ac:dyDescent="0.25">
      <c r="C98">
        <f t="shared" si="6"/>
        <v>89</v>
      </c>
      <c r="D98" s="1">
        <f t="shared" si="7"/>
        <v>-23.235218421908229</v>
      </c>
      <c r="E98" s="1">
        <f t="shared" si="5"/>
        <v>-145.99118299764223</v>
      </c>
      <c r="F98" s="1">
        <f>SUM($E$10:E98)</f>
        <v>-3717.3662864703269</v>
      </c>
    </row>
    <row r="99" spans="3:6" x14ac:dyDescent="0.25">
      <c r="C99">
        <f t="shared" si="6"/>
        <v>90</v>
      </c>
      <c r="D99" s="1">
        <f t="shared" si="7"/>
        <v>-23.612209540339006</v>
      </c>
      <c r="E99" s="1">
        <f t="shared" si="5"/>
        <v>-148.35988805390369</v>
      </c>
      <c r="F99" s="1">
        <f>SUM($E$10:E99)</f>
        <v>-3865.7261745242308</v>
      </c>
    </row>
    <row r="100" spans="3:6" x14ac:dyDescent="0.25">
      <c r="C100">
        <f t="shared" si="6"/>
        <v>91</v>
      </c>
      <c r="D100" s="1">
        <f t="shared" si="7"/>
        <v>-23.989200658769782</v>
      </c>
      <c r="E100" s="1">
        <f t="shared" si="5"/>
        <v>-150.72859311016515</v>
      </c>
      <c r="F100" s="1">
        <f>SUM($E$10:E100)</f>
        <v>-4016.4547676343959</v>
      </c>
    </row>
    <row r="101" spans="3:6" x14ac:dyDescent="0.25">
      <c r="C101">
        <f t="shared" si="6"/>
        <v>92</v>
      </c>
      <c r="D101" s="1">
        <f t="shared" si="7"/>
        <v>-24.366191777200559</v>
      </c>
      <c r="E101" s="1">
        <f t="shared" si="5"/>
        <v>-153.09729816642661</v>
      </c>
      <c r="F101" s="1">
        <f>SUM($E$10:E101)</f>
        <v>-4169.5520658008227</v>
      </c>
    </row>
    <row r="102" spans="3:6" x14ac:dyDescent="0.25">
      <c r="C102">
        <f t="shared" si="6"/>
        <v>93</v>
      </c>
      <c r="D102" s="1">
        <f t="shared" si="7"/>
        <v>-24.743182895631335</v>
      </c>
      <c r="E102" s="1">
        <f t="shared" si="5"/>
        <v>-155.46600322268804</v>
      </c>
      <c r="F102" s="1">
        <f>SUM($E$10:E102)</f>
        <v>-4325.0180690235111</v>
      </c>
    </row>
    <row r="103" spans="3:6" x14ac:dyDescent="0.25">
      <c r="C103">
        <f t="shared" si="6"/>
        <v>94</v>
      </c>
      <c r="D103" s="1">
        <f t="shared" si="7"/>
        <v>-25.120174014062112</v>
      </c>
      <c r="E103" s="1">
        <f t="shared" si="5"/>
        <v>-157.83470827894951</v>
      </c>
      <c r="F103" s="1">
        <f>SUM($E$10:E103)</f>
        <v>-4482.8527773024607</v>
      </c>
    </row>
    <row r="104" spans="3:6" x14ac:dyDescent="0.25">
      <c r="C104">
        <f t="shared" si="6"/>
        <v>95</v>
      </c>
      <c r="D104" s="1">
        <f t="shared" si="7"/>
        <v>-25.497165132492889</v>
      </c>
      <c r="E104" s="1">
        <f t="shared" si="5"/>
        <v>-160.20341333521097</v>
      </c>
      <c r="F104" s="1">
        <f>SUM($E$10:E104)</f>
        <v>-4643.0561906376715</v>
      </c>
    </row>
    <row r="105" spans="3:6" x14ac:dyDescent="0.25">
      <c r="C105">
        <f t="shared" si="6"/>
        <v>96</v>
      </c>
      <c r="D105" s="1">
        <f t="shared" si="7"/>
        <v>-25.874156250923665</v>
      </c>
      <c r="E105" s="1">
        <f t="shared" si="5"/>
        <v>-162.57211839147243</v>
      </c>
      <c r="F105" s="1">
        <f>SUM($E$10:E105)</f>
        <v>-4805.6283090291436</v>
      </c>
    </row>
    <row r="106" spans="3:6" x14ac:dyDescent="0.25">
      <c r="C106">
        <f t="shared" si="6"/>
        <v>97</v>
      </c>
      <c r="D106" s="1">
        <f t="shared" si="7"/>
        <v>-26.251147369354442</v>
      </c>
      <c r="E106" s="1">
        <f t="shared" si="5"/>
        <v>-164.94082344773386</v>
      </c>
      <c r="F106" s="1">
        <f>SUM($E$10:E106)</f>
        <v>-4970.5691324768777</v>
      </c>
    </row>
    <row r="107" spans="3:6" x14ac:dyDescent="0.25">
      <c r="C107">
        <f t="shared" si="6"/>
        <v>98</v>
      </c>
      <c r="D107" s="1">
        <f t="shared" si="7"/>
        <v>-26.628138487785218</v>
      </c>
      <c r="E107" s="1">
        <f t="shared" si="5"/>
        <v>-167.30952850399532</v>
      </c>
      <c r="F107" s="1">
        <f>SUM($E$10:E107)</f>
        <v>-5137.8786609808731</v>
      </c>
    </row>
    <row r="108" spans="3:6" x14ac:dyDescent="0.25">
      <c r="C108">
        <f t="shared" si="6"/>
        <v>99</v>
      </c>
      <c r="D108" s="1">
        <f t="shared" si="7"/>
        <v>-27.005129606215995</v>
      </c>
      <c r="E108" s="1">
        <f t="shared" si="5"/>
        <v>-169.67823356025679</v>
      </c>
      <c r="F108" s="1">
        <f>SUM($E$10:E108)</f>
        <v>-5307.5568945411296</v>
      </c>
    </row>
    <row r="109" spans="3:6" x14ac:dyDescent="0.25">
      <c r="C109">
        <f t="shared" si="6"/>
        <v>100</v>
      </c>
      <c r="D109" s="1">
        <f t="shared" si="7"/>
        <v>-27.382120724646771</v>
      </c>
      <c r="E109" s="1">
        <f t="shared" si="5"/>
        <v>-172.04693861651825</v>
      </c>
      <c r="F109" s="1">
        <f>SUM($E$10:E109)</f>
        <v>-5479.6038331576483</v>
      </c>
    </row>
    <row r="110" spans="3:6" x14ac:dyDescent="0.25">
      <c r="C110">
        <f t="shared" si="6"/>
        <v>101</v>
      </c>
      <c r="D110" s="1">
        <f t="shared" si="7"/>
        <v>-27.759111843077548</v>
      </c>
      <c r="E110" s="1">
        <f t="shared" si="5"/>
        <v>-174.41564367277968</v>
      </c>
      <c r="F110" s="1">
        <f>SUM($E$10:E110)</f>
        <v>-5654.0194768304282</v>
      </c>
    </row>
    <row r="111" spans="3:6" x14ac:dyDescent="0.25">
      <c r="C111">
        <f t="shared" si="6"/>
        <v>102</v>
      </c>
      <c r="D111" s="1">
        <f t="shared" si="7"/>
        <v>-28.136102961508325</v>
      </c>
      <c r="E111" s="1">
        <f t="shared" si="5"/>
        <v>-176.78434872904114</v>
      </c>
      <c r="F111" s="1">
        <f>SUM($E$10:E111)</f>
        <v>-5830.8038255594693</v>
      </c>
    </row>
    <row r="112" spans="3:6" x14ac:dyDescent="0.25">
      <c r="C112">
        <f t="shared" si="6"/>
        <v>103</v>
      </c>
      <c r="D112" s="1">
        <f t="shared" si="7"/>
        <v>-28.513094079939101</v>
      </c>
      <c r="E112" s="1">
        <f t="shared" si="5"/>
        <v>-179.1530537853026</v>
      </c>
      <c r="F112" s="1">
        <f>SUM($E$10:E112)</f>
        <v>-6009.9568793447716</v>
      </c>
    </row>
    <row r="113" spans="3:6" x14ac:dyDescent="0.25">
      <c r="C113">
        <f t="shared" si="6"/>
        <v>104</v>
      </c>
      <c r="D113" s="1">
        <f t="shared" si="7"/>
        <v>-28.890085198369878</v>
      </c>
      <c r="E113" s="1">
        <f t="shared" si="5"/>
        <v>-181.52175884156406</v>
      </c>
      <c r="F113" s="1">
        <f>SUM($E$10:E113)</f>
        <v>-6191.478638186336</v>
      </c>
    </row>
    <row r="114" spans="3:6" x14ac:dyDescent="0.25">
      <c r="C114">
        <f t="shared" si="6"/>
        <v>105</v>
      </c>
      <c r="D114" s="1">
        <f t="shared" si="7"/>
        <v>-29.267076316800654</v>
      </c>
      <c r="E114" s="1">
        <f t="shared" si="5"/>
        <v>-183.89046389782553</v>
      </c>
      <c r="F114" s="1">
        <f>SUM($E$10:E114)</f>
        <v>-6375.3691020841616</v>
      </c>
    </row>
    <row r="115" spans="3:6" x14ac:dyDescent="0.25">
      <c r="C115">
        <f t="shared" si="6"/>
        <v>106</v>
      </c>
      <c r="D115" s="1">
        <f t="shared" si="7"/>
        <v>-29.644067435231431</v>
      </c>
      <c r="E115" s="1">
        <f t="shared" si="5"/>
        <v>-186.25916895408696</v>
      </c>
      <c r="F115" s="1">
        <f>SUM($E$10:E115)</f>
        <v>-6561.6282710382484</v>
      </c>
    </row>
    <row r="116" spans="3:6" x14ac:dyDescent="0.25">
      <c r="C116">
        <f t="shared" si="6"/>
        <v>107</v>
      </c>
      <c r="D116" s="1">
        <f t="shared" si="7"/>
        <v>-30.021058553662208</v>
      </c>
      <c r="E116" s="1">
        <f t="shared" si="5"/>
        <v>-188.62787401034842</v>
      </c>
      <c r="F116" s="1">
        <f>SUM($E$10:E116)</f>
        <v>-6750.2561450485964</v>
      </c>
    </row>
    <row r="117" spans="3:6" x14ac:dyDescent="0.25">
      <c r="C117">
        <f t="shared" si="6"/>
        <v>108</v>
      </c>
      <c r="D117" s="1">
        <f t="shared" si="7"/>
        <v>-30.398049672092984</v>
      </c>
      <c r="E117" s="1">
        <f t="shared" si="5"/>
        <v>-190.99657906660988</v>
      </c>
      <c r="F117" s="1">
        <f>SUM($E$10:E117)</f>
        <v>-6941.2527241152065</v>
      </c>
    </row>
    <row r="118" spans="3:6" x14ac:dyDescent="0.25">
      <c r="C118">
        <f t="shared" si="6"/>
        <v>109</v>
      </c>
      <c r="D118" s="1">
        <f t="shared" si="7"/>
        <v>-30.775040790523761</v>
      </c>
      <c r="E118" s="1">
        <f t="shared" si="5"/>
        <v>-193.36528412287134</v>
      </c>
      <c r="F118" s="1">
        <f>SUM($E$10:E118)</f>
        <v>-7134.6180082380779</v>
      </c>
    </row>
    <row r="119" spans="3:6" x14ac:dyDescent="0.25">
      <c r="C119">
        <f t="shared" si="6"/>
        <v>110</v>
      </c>
      <c r="D119" s="1">
        <f t="shared" si="7"/>
        <v>-31.152031908954537</v>
      </c>
      <c r="E119" s="1">
        <f t="shared" si="5"/>
        <v>-195.73398917913278</v>
      </c>
      <c r="F119" s="1">
        <f>SUM($E$10:E119)</f>
        <v>-7330.3519974172104</v>
      </c>
    </row>
    <row r="120" spans="3:6" x14ac:dyDescent="0.25">
      <c r="C120">
        <f t="shared" si="6"/>
        <v>111</v>
      </c>
      <c r="D120" s="1">
        <f t="shared" si="7"/>
        <v>-31.529023027385314</v>
      </c>
      <c r="E120" s="1">
        <f t="shared" si="5"/>
        <v>-198.10269423539424</v>
      </c>
      <c r="F120" s="1">
        <f>SUM($E$10:E120)</f>
        <v>-7528.4546916526051</v>
      </c>
    </row>
    <row r="121" spans="3:6" x14ac:dyDescent="0.25">
      <c r="C121">
        <f t="shared" si="6"/>
        <v>112</v>
      </c>
      <c r="D121" s="1">
        <f t="shared" si="7"/>
        <v>-31.906014145816091</v>
      </c>
      <c r="E121" s="1">
        <f t="shared" si="5"/>
        <v>-200.4713992916557</v>
      </c>
      <c r="F121" s="1">
        <f>SUM($E$10:E121)</f>
        <v>-7728.926090944261</v>
      </c>
    </row>
    <row r="122" spans="3:6" x14ac:dyDescent="0.25">
      <c r="C122">
        <f t="shared" si="6"/>
        <v>113</v>
      </c>
      <c r="D122" s="1">
        <f t="shared" si="7"/>
        <v>-32.283005264246867</v>
      </c>
      <c r="E122" s="1">
        <f t="shared" si="5"/>
        <v>-202.84010434791716</v>
      </c>
      <c r="F122" s="1">
        <f>SUM($E$10:E122)</f>
        <v>-7931.7661952921781</v>
      </c>
    </row>
    <row r="123" spans="3:6" x14ac:dyDescent="0.25">
      <c r="C123">
        <f t="shared" si="6"/>
        <v>114</v>
      </c>
      <c r="D123" s="1">
        <f t="shared" si="7"/>
        <v>-32.65999638267764</v>
      </c>
      <c r="E123" s="1">
        <f t="shared" si="5"/>
        <v>-205.2088094041786</v>
      </c>
      <c r="F123" s="1">
        <f>SUM($E$10:E123)</f>
        <v>-8136.9750046963563</v>
      </c>
    </row>
    <row r="124" spans="3:6" x14ac:dyDescent="0.25">
      <c r="C124">
        <f t="shared" si="6"/>
        <v>115</v>
      </c>
      <c r="D124" s="1">
        <f t="shared" si="7"/>
        <v>-33.036987501108413</v>
      </c>
      <c r="E124" s="1">
        <f t="shared" si="5"/>
        <v>-207.57751446044003</v>
      </c>
      <c r="F124" s="1">
        <f>SUM($E$10:E124)</f>
        <v>-8344.5525191567958</v>
      </c>
    </row>
    <row r="125" spans="3:6" x14ac:dyDescent="0.25">
      <c r="C125">
        <f t="shared" si="6"/>
        <v>116</v>
      </c>
      <c r="D125" s="1">
        <f t="shared" si="7"/>
        <v>-33.413978619539186</v>
      </c>
      <c r="E125" s="1">
        <f t="shared" si="5"/>
        <v>-209.94621951670146</v>
      </c>
      <c r="F125" s="1">
        <f>SUM($E$10:E125)</f>
        <v>-8554.4987386734974</v>
      </c>
    </row>
    <row r="126" spans="3:6" x14ac:dyDescent="0.25">
      <c r="C126">
        <f t="shared" si="6"/>
        <v>117</v>
      </c>
      <c r="D126" s="1">
        <f t="shared" si="7"/>
        <v>-33.790969737969959</v>
      </c>
      <c r="E126" s="1">
        <f t="shared" si="5"/>
        <v>-212.31492457296289</v>
      </c>
      <c r="F126" s="1">
        <f>SUM($E$10:E126)</f>
        <v>-8766.8136632464611</v>
      </c>
    </row>
    <row r="127" spans="3:6" x14ac:dyDescent="0.25">
      <c r="C127">
        <f t="shared" si="6"/>
        <v>118</v>
      </c>
      <c r="D127" s="1">
        <f t="shared" si="7"/>
        <v>-34.167960856400732</v>
      </c>
      <c r="E127" s="1">
        <f t="shared" si="5"/>
        <v>-214.68362962922433</v>
      </c>
      <c r="F127" s="1">
        <f>SUM($E$10:E127)</f>
        <v>-8981.4972928756852</v>
      </c>
    </row>
    <row r="128" spans="3:6" x14ac:dyDescent="0.25">
      <c r="C128">
        <f t="shared" si="6"/>
        <v>119</v>
      </c>
      <c r="D128" s="1">
        <f t="shared" si="7"/>
        <v>-34.544951974831505</v>
      </c>
      <c r="E128" s="1">
        <f t="shared" si="5"/>
        <v>-217.05233468548576</v>
      </c>
      <c r="F128" s="1">
        <f>SUM($E$10:E128)</f>
        <v>-9198.5496275611713</v>
      </c>
    </row>
    <row r="129" spans="3:6" x14ac:dyDescent="0.25">
      <c r="C129">
        <f t="shared" si="6"/>
        <v>120</v>
      </c>
      <c r="D129" s="1">
        <f t="shared" si="7"/>
        <v>-34.921943093262279</v>
      </c>
      <c r="E129" s="1">
        <f t="shared" si="5"/>
        <v>-219.42103974174717</v>
      </c>
      <c r="F129" s="1">
        <f>SUM($E$10:E129)</f>
        <v>-9417.9706673029177</v>
      </c>
    </row>
    <row r="130" spans="3:6" x14ac:dyDescent="0.25">
      <c r="C130">
        <f t="shared" si="6"/>
        <v>121</v>
      </c>
      <c r="D130" s="1">
        <f t="shared" si="7"/>
        <v>-35.298934211693052</v>
      </c>
      <c r="E130" s="1">
        <f t="shared" si="5"/>
        <v>-221.7897447980086</v>
      </c>
      <c r="F130" s="1">
        <f>SUM($E$10:E130)</f>
        <v>-9639.7604121009263</v>
      </c>
    </row>
    <row r="131" spans="3:6" x14ac:dyDescent="0.25">
      <c r="C131">
        <f t="shared" si="6"/>
        <v>122</v>
      </c>
      <c r="D131" s="1">
        <f t="shared" si="7"/>
        <v>-35.675925330123825</v>
      </c>
      <c r="E131" s="1">
        <f t="shared" si="5"/>
        <v>-224.15844985427003</v>
      </c>
      <c r="F131" s="1">
        <f>SUM($E$10:E131)</f>
        <v>-9863.9188619551969</v>
      </c>
    </row>
    <row r="132" spans="3:6" x14ac:dyDescent="0.25">
      <c r="C132">
        <f t="shared" si="6"/>
        <v>123</v>
      </c>
      <c r="D132" s="1">
        <f t="shared" si="7"/>
        <v>-36.052916448554598</v>
      </c>
      <c r="E132" s="1">
        <f t="shared" si="5"/>
        <v>-226.52715491053146</v>
      </c>
      <c r="F132" s="1">
        <f>SUM($E$10:E132)</f>
        <v>-10090.446016865728</v>
      </c>
    </row>
    <row r="133" spans="3:6" x14ac:dyDescent="0.25">
      <c r="C133">
        <f t="shared" si="6"/>
        <v>124</v>
      </c>
      <c r="D133" s="1">
        <f t="shared" si="7"/>
        <v>-36.429907566985371</v>
      </c>
      <c r="E133" s="1">
        <f t="shared" si="5"/>
        <v>-228.8958599667929</v>
      </c>
      <c r="F133" s="1">
        <f>SUM($E$10:E133)</f>
        <v>-10319.341876832521</v>
      </c>
    </row>
    <row r="134" spans="3:6" x14ac:dyDescent="0.25">
      <c r="C134">
        <f t="shared" si="6"/>
        <v>125</v>
      </c>
      <c r="D134" s="1">
        <f t="shared" si="7"/>
        <v>-36.806898685416144</v>
      </c>
      <c r="E134" s="1">
        <f t="shared" si="5"/>
        <v>-231.26456502305433</v>
      </c>
      <c r="F134" s="1">
        <f>SUM($E$10:E134)</f>
        <v>-10550.606441855576</v>
      </c>
    </row>
    <row r="135" spans="3:6" x14ac:dyDescent="0.25">
      <c r="C135">
        <f t="shared" si="6"/>
        <v>126</v>
      </c>
      <c r="D135" s="1">
        <f t="shared" si="7"/>
        <v>-37.183889803846917</v>
      </c>
      <c r="E135" s="1">
        <f t="shared" si="5"/>
        <v>-233.63327007931576</v>
      </c>
      <c r="F135" s="1">
        <f>SUM($E$10:E135)</f>
        <v>-10784.239711934892</v>
      </c>
    </row>
    <row r="136" spans="3:6" x14ac:dyDescent="0.25">
      <c r="C136">
        <f t="shared" si="6"/>
        <v>127</v>
      </c>
      <c r="D136" s="1">
        <f t="shared" si="7"/>
        <v>-37.56088092227769</v>
      </c>
      <c r="E136" s="1">
        <f t="shared" si="5"/>
        <v>-236.0019751355772</v>
      </c>
      <c r="F136" s="1">
        <f>SUM($E$10:E136)</f>
        <v>-11020.241687070469</v>
      </c>
    </row>
    <row r="137" spans="3:6" x14ac:dyDescent="0.25">
      <c r="C137">
        <f t="shared" si="6"/>
        <v>128</v>
      </c>
      <c r="D137" s="1">
        <f t="shared" si="7"/>
        <v>-37.937872040708463</v>
      </c>
      <c r="E137" s="1">
        <f t="shared" si="5"/>
        <v>-238.37068019183863</v>
      </c>
      <c r="F137" s="1">
        <f>SUM($E$10:E137)</f>
        <v>-11258.612367262307</v>
      </c>
    </row>
    <row r="138" spans="3:6" x14ac:dyDescent="0.25">
      <c r="C138">
        <f t="shared" si="6"/>
        <v>129</v>
      </c>
      <c r="D138" s="1">
        <f t="shared" si="7"/>
        <v>-38.314863159139236</v>
      </c>
      <c r="E138" s="1">
        <f t="shared" si="5"/>
        <v>-240.73938524810006</v>
      </c>
      <c r="F138" s="1">
        <f>SUM($E$10:E138)</f>
        <v>-11499.351752510407</v>
      </c>
    </row>
    <row r="139" spans="3:6" x14ac:dyDescent="0.25">
      <c r="C139">
        <f t="shared" si="6"/>
        <v>130</v>
      </c>
      <c r="D139" s="1">
        <f t="shared" si="7"/>
        <v>-38.691854277570009</v>
      </c>
      <c r="E139" s="1">
        <f t="shared" ref="E139:E202" si="8">2*D139*PI()</f>
        <v>-243.1080903043615</v>
      </c>
      <c r="F139" s="1">
        <f>SUM($E$10:E139)</f>
        <v>-11742.459842814769</v>
      </c>
    </row>
    <row r="140" spans="3:6" x14ac:dyDescent="0.25">
      <c r="C140">
        <f t="shared" si="6"/>
        <v>131</v>
      </c>
      <c r="D140" s="1">
        <f t="shared" si="7"/>
        <v>-39.068845396000782</v>
      </c>
      <c r="E140" s="1">
        <f t="shared" si="8"/>
        <v>-245.47679536062293</v>
      </c>
      <c r="F140" s="1">
        <f>SUM($E$10:E140)</f>
        <v>-11987.936638175392</v>
      </c>
    </row>
    <row r="141" spans="3:6" x14ac:dyDescent="0.25">
      <c r="C141">
        <f t="shared" si="6"/>
        <v>132</v>
      </c>
      <c r="D141" s="1">
        <f t="shared" si="7"/>
        <v>-39.445836514431555</v>
      </c>
      <c r="E141" s="1">
        <f t="shared" si="8"/>
        <v>-247.84550041688436</v>
      </c>
      <c r="F141" s="1">
        <f>SUM($E$10:E141)</f>
        <v>-12235.782138592276</v>
      </c>
    </row>
    <row r="142" spans="3:6" x14ac:dyDescent="0.25">
      <c r="C142">
        <f t="shared" si="6"/>
        <v>133</v>
      </c>
      <c r="D142" s="1">
        <f t="shared" si="7"/>
        <v>-39.822827632862328</v>
      </c>
      <c r="E142" s="1">
        <f t="shared" si="8"/>
        <v>-250.2142054731458</v>
      </c>
      <c r="F142" s="1">
        <f>SUM($E$10:E142)</f>
        <v>-12485.996344065423</v>
      </c>
    </row>
    <row r="143" spans="3:6" x14ac:dyDescent="0.25">
      <c r="C143">
        <f t="shared" si="6"/>
        <v>134</v>
      </c>
      <c r="D143" s="1">
        <f t="shared" si="7"/>
        <v>-40.199818751293101</v>
      </c>
      <c r="E143" s="1">
        <f t="shared" si="8"/>
        <v>-252.58291052940723</v>
      </c>
      <c r="F143" s="1">
        <f>SUM($E$10:E143)</f>
        <v>-12738.57925459483</v>
      </c>
    </row>
    <row r="144" spans="3:6" x14ac:dyDescent="0.25">
      <c r="C144">
        <f t="shared" si="6"/>
        <v>135</v>
      </c>
      <c r="D144" s="1">
        <f t="shared" si="7"/>
        <v>-40.576809869723874</v>
      </c>
      <c r="E144" s="1">
        <f t="shared" si="8"/>
        <v>-254.95161558566866</v>
      </c>
      <c r="F144" s="1">
        <f>SUM($E$10:E144)</f>
        <v>-12993.530870180499</v>
      </c>
    </row>
    <row r="145" spans="3:6" x14ac:dyDescent="0.25">
      <c r="C145">
        <f t="shared" si="6"/>
        <v>136</v>
      </c>
      <c r="D145" s="1">
        <f t="shared" si="7"/>
        <v>-40.953800988154647</v>
      </c>
      <c r="E145" s="1">
        <f t="shared" si="8"/>
        <v>-257.3203206419301</v>
      </c>
      <c r="F145" s="1">
        <f>SUM($E$10:E145)</f>
        <v>-13250.851190822428</v>
      </c>
    </row>
    <row r="146" spans="3:6" x14ac:dyDescent="0.25">
      <c r="C146">
        <f t="shared" si="6"/>
        <v>137</v>
      </c>
      <c r="D146" s="1">
        <f t="shared" si="7"/>
        <v>-41.33079210658542</v>
      </c>
      <c r="E146" s="1">
        <f t="shared" si="8"/>
        <v>-259.68902569819153</v>
      </c>
      <c r="F146" s="1">
        <f>SUM($E$10:E146)</f>
        <v>-13510.54021652062</v>
      </c>
    </row>
    <row r="147" spans="3:6" x14ac:dyDescent="0.25">
      <c r="C147">
        <f t="shared" si="6"/>
        <v>138</v>
      </c>
      <c r="D147" s="1">
        <f t="shared" si="7"/>
        <v>-41.707783225016193</v>
      </c>
      <c r="E147" s="1">
        <f t="shared" si="8"/>
        <v>-262.05773075445296</v>
      </c>
      <c r="F147" s="1">
        <f>SUM($E$10:E147)</f>
        <v>-13772.597947275073</v>
      </c>
    </row>
    <row r="148" spans="3:6" x14ac:dyDescent="0.25">
      <c r="C148">
        <f t="shared" si="6"/>
        <v>139</v>
      </c>
      <c r="D148" s="1">
        <f t="shared" si="7"/>
        <v>-42.084774343446966</v>
      </c>
      <c r="E148" s="1">
        <f t="shared" si="8"/>
        <v>-264.42643581071439</v>
      </c>
      <c r="F148" s="1">
        <f>SUM($E$10:E148)</f>
        <v>-14037.024383085787</v>
      </c>
    </row>
    <row r="149" spans="3:6" x14ac:dyDescent="0.25">
      <c r="C149">
        <f t="shared" si="6"/>
        <v>140</v>
      </c>
      <c r="D149" s="1">
        <f t="shared" si="7"/>
        <v>-42.461765461877739</v>
      </c>
      <c r="E149" s="1">
        <f t="shared" si="8"/>
        <v>-266.79514086697583</v>
      </c>
      <c r="F149" s="1">
        <f>SUM($E$10:E149)</f>
        <v>-14303.819523952763</v>
      </c>
    </row>
    <row r="150" spans="3:6" x14ac:dyDescent="0.25">
      <c r="C150">
        <f t="shared" si="6"/>
        <v>141</v>
      </c>
      <c r="D150" s="1">
        <f t="shared" si="7"/>
        <v>-42.838756580308512</v>
      </c>
      <c r="E150" s="1">
        <f t="shared" si="8"/>
        <v>-269.16384592323726</v>
      </c>
      <c r="F150" s="1">
        <f>SUM($E$10:E150)</f>
        <v>-14572.983369876001</v>
      </c>
    </row>
    <row r="151" spans="3:6" x14ac:dyDescent="0.25">
      <c r="C151">
        <f t="shared" si="6"/>
        <v>142</v>
      </c>
      <c r="D151" s="1">
        <f t="shared" si="7"/>
        <v>-43.215747698739285</v>
      </c>
      <c r="E151" s="1">
        <f t="shared" si="8"/>
        <v>-271.53255097949869</v>
      </c>
      <c r="F151" s="1">
        <f>SUM($E$10:E151)</f>
        <v>-14844.5159208555</v>
      </c>
    </row>
    <row r="152" spans="3:6" x14ac:dyDescent="0.25">
      <c r="C152">
        <f t="shared" si="6"/>
        <v>143</v>
      </c>
      <c r="D152" s="1">
        <f t="shared" si="7"/>
        <v>-43.592738817170058</v>
      </c>
      <c r="E152" s="1">
        <f t="shared" si="8"/>
        <v>-273.90125603576013</v>
      </c>
      <c r="F152" s="1">
        <f>SUM($E$10:E152)</f>
        <v>-15118.41717689126</v>
      </c>
    </row>
    <row r="153" spans="3:6" x14ac:dyDescent="0.25">
      <c r="C153">
        <f t="shared" si="6"/>
        <v>144</v>
      </c>
      <c r="D153" s="1">
        <f t="shared" si="7"/>
        <v>-43.969729935600832</v>
      </c>
      <c r="E153" s="1">
        <f t="shared" si="8"/>
        <v>-276.26996109202156</v>
      </c>
      <c r="F153" s="1">
        <f>SUM($E$10:E153)</f>
        <v>-15394.687137983281</v>
      </c>
    </row>
    <row r="154" spans="3:6" x14ac:dyDescent="0.25">
      <c r="C154">
        <f t="shared" si="6"/>
        <v>145</v>
      </c>
      <c r="D154" s="1">
        <f t="shared" si="7"/>
        <v>-44.346721054031605</v>
      </c>
      <c r="E154" s="1">
        <f t="shared" si="8"/>
        <v>-278.63866614828299</v>
      </c>
      <c r="F154" s="1">
        <f>SUM($E$10:E154)</f>
        <v>-15673.325804131564</v>
      </c>
    </row>
    <row r="155" spans="3:6" x14ac:dyDescent="0.25">
      <c r="C155">
        <f t="shared" si="6"/>
        <v>146</v>
      </c>
      <c r="D155" s="1">
        <f t="shared" si="7"/>
        <v>-44.723712172462378</v>
      </c>
      <c r="E155" s="1">
        <f t="shared" si="8"/>
        <v>-281.00737120454443</v>
      </c>
      <c r="F155" s="1">
        <f>SUM($E$10:E155)</f>
        <v>-15954.333175336109</v>
      </c>
    </row>
    <row r="156" spans="3:6" x14ac:dyDescent="0.25">
      <c r="C156">
        <f t="shared" si="6"/>
        <v>147</v>
      </c>
      <c r="D156" s="1">
        <f t="shared" si="7"/>
        <v>-45.100703290893151</v>
      </c>
      <c r="E156" s="1">
        <f t="shared" si="8"/>
        <v>-283.37607626080586</v>
      </c>
      <c r="F156" s="1">
        <f>SUM($E$10:E156)</f>
        <v>-16237.709251596914</v>
      </c>
    </row>
    <row r="157" spans="3:6" x14ac:dyDescent="0.25">
      <c r="C157">
        <f t="shared" si="6"/>
        <v>148</v>
      </c>
      <c r="D157" s="1">
        <f t="shared" si="7"/>
        <v>-45.477694409323924</v>
      </c>
      <c r="E157" s="1">
        <f t="shared" si="8"/>
        <v>-285.74478131706729</v>
      </c>
      <c r="F157" s="1">
        <f>SUM($E$10:E157)</f>
        <v>-16523.454032913982</v>
      </c>
    </row>
    <row r="158" spans="3:6" x14ac:dyDescent="0.25">
      <c r="C158">
        <f t="shared" ref="C158:C221" si="9">C157+1</f>
        <v>149</v>
      </c>
      <c r="D158" s="1">
        <f t="shared" ref="D158:D221" si="10">D157-(PI()*$D$4/100)</f>
        <v>-45.854685527754697</v>
      </c>
      <c r="E158" s="1">
        <f t="shared" si="8"/>
        <v>-288.11348637332873</v>
      </c>
      <c r="F158" s="1">
        <f>SUM($E$10:E158)</f>
        <v>-16811.56751928731</v>
      </c>
    </row>
    <row r="159" spans="3:6" x14ac:dyDescent="0.25">
      <c r="C159">
        <f t="shared" si="9"/>
        <v>150</v>
      </c>
      <c r="D159" s="1">
        <f t="shared" si="10"/>
        <v>-46.23167664618547</v>
      </c>
      <c r="E159" s="1">
        <f t="shared" si="8"/>
        <v>-290.48219142959016</v>
      </c>
      <c r="F159" s="1">
        <f>SUM($E$10:E159)</f>
        <v>-17102.049710716899</v>
      </c>
    </row>
    <row r="160" spans="3:6" x14ac:dyDescent="0.25">
      <c r="C160">
        <f t="shared" si="9"/>
        <v>151</v>
      </c>
      <c r="D160" s="1">
        <f t="shared" si="10"/>
        <v>-46.608667764616243</v>
      </c>
      <c r="E160" s="1">
        <f t="shared" si="8"/>
        <v>-292.85089648585159</v>
      </c>
      <c r="F160" s="1">
        <f>SUM($E$10:E160)</f>
        <v>-17394.900607202751</v>
      </c>
    </row>
    <row r="161" spans="3:6" x14ac:dyDescent="0.25">
      <c r="C161">
        <f t="shared" si="9"/>
        <v>152</v>
      </c>
      <c r="D161" s="1">
        <f t="shared" si="10"/>
        <v>-46.985658883047016</v>
      </c>
      <c r="E161" s="1">
        <f t="shared" si="8"/>
        <v>-295.21960154211303</v>
      </c>
      <c r="F161" s="1">
        <f>SUM($E$10:E161)</f>
        <v>-17690.120208744866</v>
      </c>
    </row>
    <row r="162" spans="3:6" x14ac:dyDescent="0.25">
      <c r="C162">
        <f t="shared" si="9"/>
        <v>153</v>
      </c>
      <c r="D162" s="1">
        <f t="shared" si="10"/>
        <v>-47.362650001477789</v>
      </c>
      <c r="E162" s="1">
        <f t="shared" si="8"/>
        <v>-297.58830659837446</v>
      </c>
      <c r="F162" s="1">
        <f>SUM($E$10:E162)</f>
        <v>-17987.708515343242</v>
      </c>
    </row>
    <row r="163" spans="3:6" x14ac:dyDescent="0.25">
      <c r="C163">
        <f t="shared" si="9"/>
        <v>154</v>
      </c>
      <c r="D163" s="1">
        <f t="shared" si="10"/>
        <v>-47.739641119908562</v>
      </c>
      <c r="E163" s="1">
        <f t="shared" si="8"/>
        <v>-299.95701165463589</v>
      </c>
      <c r="F163" s="1">
        <f>SUM($E$10:E163)</f>
        <v>-18287.665526997876</v>
      </c>
    </row>
    <row r="164" spans="3:6" x14ac:dyDescent="0.25">
      <c r="C164">
        <f t="shared" si="9"/>
        <v>155</v>
      </c>
      <c r="D164" s="1">
        <f t="shared" si="10"/>
        <v>-48.116632238339335</v>
      </c>
      <c r="E164" s="1">
        <f t="shared" si="8"/>
        <v>-302.32571671089732</v>
      </c>
      <c r="F164" s="1">
        <f>SUM($E$10:E164)</f>
        <v>-18589.991243708773</v>
      </c>
    </row>
    <row r="165" spans="3:6" x14ac:dyDescent="0.25">
      <c r="C165">
        <f t="shared" si="9"/>
        <v>156</v>
      </c>
      <c r="D165" s="1">
        <f t="shared" si="10"/>
        <v>-48.493623356770108</v>
      </c>
      <c r="E165" s="1">
        <f t="shared" si="8"/>
        <v>-304.69442176715876</v>
      </c>
      <c r="F165" s="1">
        <f>SUM($E$10:E165)</f>
        <v>-18894.685665475932</v>
      </c>
    </row>
    <row r="166" spans="3:6" x14ac:dyDescent="0.25">
      <c r="C166">
        <f t="shared" si="9"/>
        <v>157</v>
      </c>
      <c r="D166" s="1">
        <f t="shared" si="10"/>
        <v>-48.870614475200881</v>
      </c>
      <c r="E166" s="1">
        <f t="shared" si="8"/>
        <v>-307.06312682342019</v>
      </c>
      <c r="F166" s="1">
        <f>SUM($E$10:E166)</f>
        <v>-19201.748792299353</v>
      </c>
    </row>
    <row r="167" spans="3:6" x14ac:dyDescent="0.25">
      <c r="C167">
        <f t="shared" si="9"/>
        <v>158</v>
      </c>
      <c r="D167" s="1">
        <f t="shared" si="10"/>
        <v>-49.247605593631654</v>
      </c>
      <c r="E167" s="1">
        <f t="shared" si="8"/>
        <v>-309.43183187968162</v>
      </c>
      <c r="F167" s="1">
        <f>SUM($E$10:E167)</f>
        <v>-19511.180624179036</v>
      </c>
    </row>
    <row r="168" spans="3:6" x14ac:dyDescent="0.25">
      <c r="C168">
        <f t="shared" si="9"/>
        <v>159</v>
      </c>
      <c r="D168" s="1">
        <f t="shared" si="10"/>
        <v>-49.624596712062427</v>
      </c>
      <c r="E168" s="1">
        <f t="shared" si="8"/>
        <v>-311.80053693594306</v>
      </c>
      <c r="F168" s="1">
        <f>SUM($E$10:E168)</f>
        <v>-19822.981161114978</v>
      </c>
    </row>
    <row r="169" spans="3:6" x14ac:dyDescent="0.25">
      <c r="C169">
        <f t="shared" si="9"/>
        <v>160</v>
      </c>
      <c r="D169" s="1">
        <f t="shared" si="10"/>
        <v>-50.0015878304932</v>
      </c>
      <c r="E169" s="1">
        <f t="shared" si="8"/>
        <v>-314.16924199220449</v>
      </c>
      <c r="F169" s="1">
        <f>SUM($E$10:E169)</f>
        <v>-20137.150403107182</v>
      </c>
    </row>
    <row r="170" spans="3:6" x14ac:dyDescent="0.25">
      <c r="C170">
        <f t="shared" si="9"/>
        <v>161</v>
      </c>
      <c r="D170" s="1">
        <f t="shared" si="10"/>
        <v>-50.378578948923973</v>
      </c>
      <c r="E170" s="1">
        <f t="shared" si="8"/>
        <v>-316.53794704846592</v>
      </c>
      <c r="F170" s="1">
        <f>SUM($E$10:E170)</f>
        <v>-20453.688350155648</v>
      </c>
    </row>
    <row r="171" spans="3:6" x14ac:dyDescent="0.25">
      <c r="C171">
        <f t="shared" si="9"/>
        <v>162</v>
      </c>
      <c r="D171" s="1">
        <f t="shared" si="10"/>
        <v>-50.755570067354746</v>
      </c>
      <c r="E171" s="1">
        <f t="shared" si="8"/>
        <v>-318.90665210472736</v>
      </c>
      <c r="F171" s="1">
        <f>SUM($E$10:E171)</f>
        <v>-20772.595002260376</v>
      </c>
    </row>
    <row r="172" spans="3:6" x14ac:dyDescent="0.25">
      <c r="C172">
        <f t="shared" si="9"/>
        <v>163</v>
      </c>
      <c r="D172" s="1">
        <f t="shared" si="10"/>
        <v>-51.132561185785519</v>
      </c>
      <c r="E172" s="1">
        <f t="shared" si="8"/>
        <v>-321.27535716098879</v>
      </c>
      <c r="F172" s="1">
        <f>SUM($E$10:E172)</f>
        <v>-21093.870359421366</v>
      </c>
    </row>
    <row r="173" spans="3:6" x14ac:dyDescent="0.25">
      <c r="C173">
        <f t="shared" si="9"/>
        <v>164</v>
      </c>
      <c r="D173" s="1">
        <f t="shared" si="10"/>
        <v>-51.509552304216292</v>
      </c>
      <c r="E173" s="1">
        <f t="shared" si="8"/>
        <v>-323.64406221725022</v>
      </c>
      <c r="F173" s="1">
        <f>SUM($E$10:E173)</f>
        <v>-21417.514421638614</v>
      </c>
    </row>
    <row r="174" spans="3:6" x14ac:dyDescent="0.25">
      <c r="C174">
        <f t="shared" si="9"/>
        <v>165</v>
      </c>
      <c r="D174" s="1">
        <f t="shared" si="10"/>
        <v>-51.886543422647065</v>
      </c>
      <c r="E174" s="1">
        <f t="shared" si="8"/>
        <v>-326.01276727351166</v>
      </c>
      <c r="F174" s="1">
        <f>SUM($E$10:E174)</f>
        <v>-21743.527188912125</v>
      </c>
    </row>
    <row r="175" spans="3:6" x14ac:dyDescent="0.25">
      <c r="C175">
        <f t="shared" si="9"/>
        <v>166</v>
      </c>
      <c r="D175" s="1">
        <f t="shared" si="10"/>
        <v>-52.263534541077838</v>
      </c>
      <c r="E175" s="1">
        <f t="shared" si="8"/>
        <v>-328.38147232977309</v>
      </c>
      <c r="F175" s="1">
        <f>SUM($E$10:E175)</f>
        <v>-22071.908661241898</v>
      </c>
    </row>
    <row r="176" spans="3:6" x14ac:dyDescent="0.25">
      <c r="C176">
        <f t="shared" si="9"/>
        <v>167</v>
      </c>
      <c r="D176" s="1">
        <f t="shared" si="10"/>
        <v>-52.640525659508612</v>
      </c>
      <c r="E176" s="1">
        <f t="shared" si="8"/>
        <v>-330.75017738603452</v>
      </c>
      <c r="F176" s="1">
        <f>SUM($E$10:E176)</f>
        <v>-22402.658838627933</v>
      </c>
    </row>
    <row r="177" spans="3:6" x14ac:dyDescent="0.25">
      <c r="C177">
        <f t="shared" si="9"/>
        <v>168</v>
      </c>
      <c r="D177" s="1">
        <f t="shared" si="10"/>
        <v>-53.017516777939385</v>
      </c>
      <c r="E177" s="1">
        <f t="shared" si="8"/>
        <v>-333.11888244229596</v>
      </c>
      <c r="F177" s="1">
        <f>SUM($E$10:E177)</f>
        <v>-22735.77772107023</v>
      </c>
    </row>
    <row r="178" spans="3:6" x14ac:dyDescent="0.25">
      <c r="C178">
        <f t="shared" si="9"/>
        <v>169</v>
      </c>
      <c r="D178" s="1">
        <f t="shared" si="10"/>
        <v>-53.394507896370158</v>
      </c>
      <c r="E178" s="1">
        <f t="shared" si="8"/>
        <v>-335.48758749855739</v>
      </c>
      <c r="F178" s="1">
        <f>SUM($E$10:E178)</f>
        <v>-23071.265308568789</v>
      </c>
    </row>
    <row r="179" spans="3:6" x14ac:dyDescent="0.25">
      <c r="C179">
        <f t="shared" si="9"/>
        <v>170</v>
      </c>
      <c r="D179" s="1">
        <f t="shared" si="10"/>
        <v>-53.771499014800931</v>
      </c>
      <c r="E179" s="1">
        <f t="shared" si="8"/>
        <v>-337.85629255481882</v>
      </c>
      <c r="F179" s="1">
        <f>SUM($E$10:E179)</f>
        <v>-23409.121601123607</v>
      </c>
    </row>
    <row r="180" spans="3:6" x14ac:dyDescent="0.25">
      <c r="C180">
        <f t="shared" si="9"/>
        <v>171</v>
      </c>
      <c r="D180" s="1">
        <f t="shared" si="10"/>
        <v>-54.148490133231704</v>
      </c>
      <c r="E180" s="1">
        <f t="shared" si="8"/>
        <v>-340.22499761108025</v>
      </c>
      <c r="F180" s="1">
        <f>SUM($E$10:E180)</f>
        <v>-23749.346598734686</v>
      </c>
    </row>
    <row r="181" spans="3:6" x14ac:dyDescent="0.25">
      <c r="C181">
        <f t="shared" si="9"/>
        <v>172</v>
      </c>
      <c r="D181" s="1">
        <f t="shared" si="10"/>
        <v>-54.525481251662477</v>
      </c>
      <c r="E181" s="1">
        <f t="shared" si="8"/>
        <v>-342.59370266734169</v>
      </c>
      <c r="F181" s="1">
        <f>SUM($E$10:E181)</f>
        <v>-24091.940301402028</v>
      </c>
    </row>
    <row r="182" spans="3:6" x14ac:dyDescent="0.25">
      <c r="C182">
        <f t="shared" si="9"/>
        <v>173</v>
      </c>
      <c r="D182" s="1">
        <f t="shared" si="10"/>
        <v>-54.90247237009325</v>
      </c>
      <c r="E182" s="1">
        <f t="shared" si="8"/>
        <v>-344.96240772360312</v>
      </c>
      <c r="F182" s="1">
        <f>SUM($E$10:E182)</f>
        <v>-24436.902709125632</v>
      </c>
    </row>
    <row r="183" spans="3:6" x14ac:dyDescent="0.25">
      <c r="C183">
        <f t="shared" si="9"/>
        <v>174</v>
      </c>
      <c r="D183" s="1">
        <f t="shared" si="10"/>
        <v>-55.279463488524023</v>
      </c>
      <c r="E183" s="1">
        <f t="shared" si="8"/>
        <v>-347.33111277986455</v>
      </c>
      <c r="F183" s="1">
        <f>SUM($E$10:E183)</f>
        <v>-24784.233821905498</v>
      </c>
    </row>
    <row r="184" spans="3:6" x14ac:dyDescent="0.25">
      <c r="C184">
        <f t="shared" si="9"/>
        <v>175</v>
      </c>
      <c r="D184" s="1">
        <f t="shared" si="10"/>
        <v>-55.656454606954796</v>
      </c>
      <c r="E184" s="1">
        <f t="shared" si="8"/>
        <v>-349.69981783612599</v>
      </c>
      <c r="F184" s="1">
        <f>SUM($E$10:E184)</f>
        <v>-25133.933639741623</v>
      </c>
    </row>
    <row r="185" spans="3:6" x14ac:dyDescent="0.25">
      <c r="C185">
        <f t="shared" si="9"/>
        <v>176</v>
      </c>
      <c r="D185" s="1">
        <f t="shared" si="10"/>
        <v>-56.033445725385569</v>
      </c>
      <c r="E185" s="1">
        <f t="shared" si="8"/>
        <v>-352.06852289238742</v>
      </c>
      <c r="F185" s="1">
        <f>SUM($E$10:E185)</f>
        <v>-25486.002162634009</v>
      </c>
    </row>
    <row r="186" spans="3:6" x14ac:dyDescent="0.25">
      <c r="C186">
        <f t="shared" si="9"/>
        <v>177</v>
      </c>
      <c r="D186" s="1">
        <f t="shared" si="10"/>
        <v>-56.410436843816342</v>
      </c>
      <c r="E186" s="1">
        <f t="shared" si="8"/>
        <v>-354.43722794864885</v>
      </c>
      <c r="F186" s="1">
        <f>SUM($E$10:E186)</f>
        <v>-25840.439390582658</v>
      </c>
    </row>
    <row r="187" spans="3:6" x14ac:dyDescent="0.25">
      <c r="C187">
        <f t="shared" si="9"/>
        <v>178</v>
      </c>
      <c r="D187" s="1">
        <f t="shared" si="10"/>
        <v>-56.787427962247115</v>
      </c>
      <c r="E187" s="1">
        <f t="shared" si="8"/>
        <v>-356.80593300491029</v>
      </c>
      <c r="F187" s="1">
        <f>SUM($E$10:E187)</f>
        <v>-26197.245323587569</v>
      </c>
    </row>
    <row r="188" spans="3:6" x14ac:dyDescent="0.25">
      <c r="C188">
        <f t="shared" si="9"/>
        <v>179</v>
      </c>
      <c r="D188" s="1">
        <f t="shared" si="10"/>
        <v>-57.164419080677888</v>
      </c>
      <c r="E188" s="1">
        <f t="shared" si="8"/>
        <v>-359.17463806117172</v>
      </c>
      <c r="F188" s="1">
        <f>SUM($E$10:E188)</f>
        <v>-26556.419961648742</v>
      </c>
    </row>
    <row r="189" spans="3:6" x14ac:dyDescent="0.25">
      <c r="C189">
        <f t="shared" si="9"/>
        <v>180</v>
      </c>
      <c r="D189" s="1">
        <f t="shared" si="10"/>
        <v>-57.541410199108661</v>
      </c>
      <c r="E189" s="1">
        <f t="shared" si="8"/>
        <v>-361.54334311743315</v>
      </c>
      <c r="F189" s="1">
        <f>SUM($E$10:E189)</f>
        <v>-26917.963304766174</v>
      </c>
    </row>
    <row r="190" spans="3:6" x14ac:dyDescent="0.25">
      <c r="C190">
        <f t="shared" si="9"/>
        <v>181</v>
      </c>
      <c r="D190" s="1">
        <f t="shared" si="10"/>
        <v>-57.918401317539434</v>
      </c>
      <c r="E190" s="1">
        <f t="shared" si="8"/>
        <v>-363.91204817369459</v>
      </c>
      <c r="F190" s="1">
        <f>SUM($E$10:E190)</f>
        <v>-27281.875352939867</v>
      </c>
    </row>
    <row r="191" spans="3:6" x14ac:dyDescent="0.25">
      <c r="C191">
        <f t="shared" si="9"/>
        <v>182</v>
      </c>
      <c r="D191" s="1">
        <f t="shared" si="10"/>
        <v>-58.295392435970207</v>
      </c>
      <c r="E191" s="1">
        <f t="shared" si="8"/>
        <v>-366.28075322995602</v>
      </c>
      <c r="F191" s="1">
        <f>SUM($E$10:E191)</f>
        <v>-27648.156106169823</v>
      </c>
    </row>
    <row r="192" spans="3:6" x14ac:dyDescent="0.25">
      <c r="C192">
        <f t="shared" si="9"/>
        <v>183</v>
      </c>
      <c r="D192" s="1">
        <f t="shared" si="10"/>
        <v>-58.67238355440098</v>
      </c>
      <c r="E192" s="1">
        <f t="shared" si="8"/>
        <v>-368.64945828621745</v>
      </c>
      <c r="F192" s="1">
        <f>SUM($E$10:E192)</f>
        <v>-28016.805564456041</v>
      </c>
    </row>
    <row r="193" spans="3:6" x14ac:dyDescent="0.25">
      <c r="C193">
        <f t="shared" si="9"/>
        <v>184</v>
      </c>
      <c r="D193" s="1">
        <f t="shared" si="10"/>
        <v>-59.049374672831753</v>
      </c>
      <c r="E193" s="1">
        <f t="shared" si="8"/>
        <v>-371.01816334247889</v>
      </c>
      <c r="F193" s="1">
        <f>SUM($E$10:E193)</f>
        <v>-28387.823727798521</v>
      </c>
    </row>
    <row r="194" spans="3:6" x14ac:dyDescent="0.25">
      <c r="C194">
        <f t="shared" si="9"/>
        <v>185</v>
      </c>
      <c r="D194" s="1">
        <f t="shared" si="10"/>
        <v>-59.426365791262526</v>
      </c>
      <c r="E194" s="1">
        <f t="shared" si="8"/>
        <v>-373.38686839874032</v>
      </c>
      <c r="F194" s="1">
        <f>SUM($E$10:E194)</f>
        <v>-28761.210596197263</v>
      </c>
    </row>
    <row r="195" spans="3:6" x14ac:dyDescent="0.25">
      <c r="C195">
        <f t="shared" si="9"/>
        <v>186</v>
      </c>
      <c r="D195" s="1">
        <f t="shared" si="10"/>
        <v>-59.803356909693299</v>
      </c>
      <c r="E195" s="1">
        <f t="shared" si="8"/>
        <v>-375.75557345500175</v>
      </c>
      <c r="F195" s="1">
        <f>SUM($E$10:E195)</f>
        <v>-29136.966169652263</v>
      </c>
    </row>
    <row r="196" spans="3:6" x14ac:dyDescent="0.25">
      <c r="C196">
        <f t="shared" si="9"/>
        <v>187</v>
      </c>
      <c r="D196" s="1">
        <f t="shared" si="10"/>
        <v>-60.180348028124072</v>
      </c>
      <c r="E196" s="1">
        <f t="shared" si="8"/>
        <v>-378.12427851126313</v>
      </c>
      <c r="F196" s="1">
        <f>SUM($E$10:E196)</f>
        <v>-29515.090448163526</v>
      </c>
    </row>
    <row r="197" spans="3:6" x14ac:dyDescent="0.25">
      <c r="C197">
        <f t="shared" si="9"/>
        <v>188</v>
      </c>
      <c r="D197" s="1">
        <f t="shared" si="10"/>
        <v>-60.557339146554845</v>
      </c>
      <c r="E197" s="1">
        <f t="shared" si="8"/>
        <v>-380.49298356752456</v>
      </c>
      <c r="F197" s="1">
        <f>SUM($E$10:E197)</f>
        <v>-29895.583431731051</v>
      </c>
    </row>
    <row r="198" spans="3:6" x14ac:dyDescent="0.25">
      <c r="C198">
        <f t="shared" si="9"/>
        <v>189</v>
      </c>
      <c r="D198" s="1">
        <f t="shared" si="10"/>
        <v>-60.934330264985618</v>
      </c>
      <c r="E198" s="1">
        <f t="shared" si="8"/>
        <v>-382.86168862378599</v>
      </c>
      <c r="F198" s="1">
        <f>SUM($E$10:E198)</f>
        <v>-30278.445120354838</v>
      </c>
    </row>
    <row r="199" spans="3:6" x14ac:dyDescent="0.25">
      <c r="C199">
        <f t="shared" si="9"/>
        <v>190</v>
      </c>
      <c r="D199" s="1">
        <f t="shared" si="10"/>
        <v>-61.311321383416391</v>
      </c>
      <c r="E199" s="1">
        <f t="shared" si="8"/>
        <v>-385.23039368004743</v>
      </c>
      <c r="F199" s="1">
        <f>SUM($E$10:E199)</f>
        <v>-30663.675514034887</v>
      </c>
    </row>
    <row r="200" spans="3:6" x14ac:dyDescent="0.25">
      <c r="C200">
        <f t="shared" si="9"/>
        <v>191</v>
      </c>
      <c r="D200" s="1">
        <f t="shared" si="10"/>
        <v>-61.688312501847165</v>
      </c>
      <c r="E200" s="1">
        <f t="shared" si="8"/>
        <v>-387.59909873630886</v>
      </c>
      <c r="F200" s="1">
        <f>SUM($E$10:E200)</f>
        <v>-31051.274612771194</v>
      </c>
    </row>
    <row r="201" spans="3:6" x14ac:dyDescent="0.25">
      <c r="C201">
        <f t="shared" si="9"/>
        <v>192</v>
      </c>
      <c r="D201" s="1">
        <f t="shared" si="10"/>
        <v>-62.065303620277938</v>
      </c>
      <c r="E201" s="1">
        <f t="shared" si="8"/>
        <v>-389.96780379257029</v>
      </c>
      <c r="F201" s="1">
        <f>SUM($E$10:E201)</f>
        <v>-31441.242416563764</v>
      </c>
    </row>
    <row r="202" spans="3:6" x14ac:dyDescent="0.25">
      <c r="C202">
        <f t="shared" si="9"/>
        <v>193</v>
      </c>
      <c r="D202" s="1">
        <f t="shared" si="10"/>
        <v>-62.442294738708711</v>
      </c>
      <c r="E202" s="1">
        <f t="shared" si="8"/>
        <v>-392.33650884883173</v>
      </c>
      <c r="F202" s="1">
        <f>SUM($E$10:E202)</f>
        <v>-31833.578925412596</v>
      </c>
    </row>
    <row r="203" spans="3:6" x14ac:dyDescent="0.25">
      <c r="C203">
        <f t="shared" si="9"/>
        <v>194</v>
      </c>
      <c r="D203" s="1">
        <f t="shared" si="10"/>
        <v>-62.819285857139484</v>
      </c>
      <c r="E203" s="1">
        <f t="shared" ref="E203:E266" si="11">2*D203*PI()</f>
        <v>-394.70521390509316</v>
      </c>
      <c r="F203" s="1">
        <f>SUM($E$10:E203)</f>
        <v>-32228.28413931769</v>
      </c>
    </row>
    <row r="204" spans="3:6" x14ac:dyDescent="0.25">
      <c r="C204">
        <f t="shared" si="9"/>
        <v>195</v>
      </c>
      <c r="D204" s="1">
        <f t="shared" si="10"/>
        <v>-63.196276975570257</v>
      </c>
      <c r="E204" s="1">
        <f t="shared" si="11"/>
        <v>-397.07391896135459</v>
      </c>
      <c r="F204" s="1">
        <f>SUM($E$10:E204)</f>
        <v>-32625.358058279046</v>
      </c>
    </row>
    <row r="205" spans="3:6" x14ac:dyDescent="0.25">
      <c r="C205">
        <f t="shared" si="9"/>
        <v>196</v>
      </c>
      <c r="D205" s="1">
        <f t="shared" si="10"/>
        <v>-63.57326809400103</v>
      </c>
      <c r="E205" s="1">
        <f t="shared" si="11"/>
        <v>-399.44262401761603</v>
      </c>
      <c r="F205" s="1">
        <f>SUM($E$10:E205)</f>
        <v>-33024.800682296664</v>
      </c>
    </row>
    <row r="206" spans="3:6" x14ac:dyDescent="0.25">
      <c r="C206">
        <f t="shared" si="9"/>
        <v>197</v>
      </c>
      <c r="D206" s="1">
        <f t="shared" si="10"/>
        <v>-63.950259212431803</v>
      </c>
      <c r="E206" s="1">
        <f t="shared" si="11"/>
        <v>-401.81132907387746</v>
      </c>
      <c r="F206" s="1">
        <f>SUM($E$10:E206)</f>
        <v>-33426.61201137054</v>
      </c>
    </row>
    <row r="207" spans="3:6" x14ac:dyDescent="0.25">
      <c r="C207">
        <f t="shared" si="9"/>
        <v>198</v>
      </c>
      <c r="D207" s="1">
        <f t="shared" si="10"/>
        <v>-64.327250330862583</v>
      </c>
      <c r="E207" s="1">
        <f t="shared" si="11"/>
        <v>-404.18003413013895</v>
      </c>
      <c r="F207" s="1">
        <f>SUM($E$10:E207)</f>
        <v>-33830.792045500682</v>
      </c>
    </row>
    <row r="208" spans="3:6" x14ac:dyDescent="0.25">
      <c r="C208">
        <f t="shared" si="9"/>
        <v>199</v>
      </c>
      <c r="D208" s="1">
        <f t="shared" si="10"/>
        <v>-64.704241449293363</v>
      </c>
      <c r="E208" s="1">
        <f t="shared" si="11"/>
        <v>-406.54873918640044</v>
      </c>
      <c r="F208" s="1">
        <f>SUM($E$10:E208)</f>
        <v>-34237.340784687083</v>
      </c>
    </row>
    <row r="209" spans="3:6" x14ac:dyDescent="0.25">
      <c r="C209">
        <f t="shared" si="9"/>
        <v>200</v>
      </c>
      <c r="D209" s="1">
        <f t="shared" si="10"/>
        <v>-65.081232567724143</v>
      </c>
      <c r="E209" s="1">
        <f t="shared" si="11"/>
        <v>-408.91744424266193</v>
      </c>
      <c r="F209" s="1">
        <f>SUM($E$10:E209)</f>
        <v>-34646.258228929742</v>
      </c>
    </row>
    <row r="210" spans="3:6" x14ac:dyDescent="0.25">
      <c r="C210">
        <f t="shared" si="9"/>
        <v>201</v>
      </c>
      <c r="D210" s="1">
        <f t="shared" si="10"/>
        <v>-65.458223686154923</v>
      </c>
      <c r="E210" s="1">
        <f t="shared" si="11"/>
        <v>-411.28614929892336</v>
      </c>
      <c r="F210" s="1">
        <f>SUM($E$10:E210)</f>
        <v>-35057.544378228667</v>
      </c>
    </row>
    <row r="211" spans="3:6" x14ac:dyDescent="0.25">
      <c r="C211">
        <f t="shared" si="9"/>
        <v>202</v>
      </c>
      <c r="D211" s="1">
        <f t="shared" si="10"/>
        <v>-65.835214804585704</v>
      </c>
      <c r="E211" s="1">
        <f t="shared" si="11"/>
        <v>-413.65485435518485</v>
      </c>
      <c r="F211" s="1">
        <f>SUM($E$10:E211)</f>
        <v>-35471.199232583851</v>
      </c>
    </row>
    <row r="212" spans="3:6" x14ac:dyDescent="0.25">
      <c r="C212">
        <f t="shared" si="9"/>
        <v>203</v>
      </c>
      <c r="D212" s="1">
        <f t="shared" si="10"/>
        <v>-66.212205923016484</v>
      </c>
      <c r="E212" s="1">
        <f t="shared" si="11"/>
        <v>-416.02355941144634</v>
      </c>
      <c r="F212" s="1">
        <f>SUM($E$10:E212)</f>
        <v>-35887.2227919953</v>
      </c>
    </row>
    <row r="213" spans="3:6" x14ac:dyDescent="0.25">
      <c r="C213">
        <f t="shared" si="9"/>
        <v>204</v>
      </c>
      <c r="D213" s="1">
        <f t="shared" si="10"/>
        <v>-66.589197041447264</v>
      </c>
      <c r="E213" s="1">
        <f t="shared" si="11"/>
        <v>-418.39226446770783</v>
      </c>
      <c r="F213" s="1">
        <f>SUM($E$10:E213)</f>
        <v>-36305.615056463008</v>
      </c>
    </row>
    <row r="214" spans="3:6" x14ac:dyDescent="0.25">
      <c r="C214">
        <f t="shared" si="9"/>
        <v>205</v>
      </c>
      <c r="D214" s="1">
        <f t="shared" si="10"/>
        <v>-66.966188159878044</v>
      </c>
      <c r="E214" s="1">
        <f t="shared" si="11"/>
        <v>-420.76096952396932</v>
      </c>
      <c r="F214" s="1">
        <f>SUM($E$10:E214)</f>
        <v>-36726.376025986974</v>
      </c>
    </row>
    <row r="215" spans="3:6" x14ac:dyDescent="0.25">
      <c r="C215">
        <f t="shared" si="9"/>
        <v>206</v>
      </c>
      <c r="D215" s="1">
        <f t="shared" si="10"/>
        <v>-67.343179278308824</v>
      </c>
      <c r="E215" s="1">
        <f t="shared" si="11"/>
        <v>-423.12967458023076</v>
      </c>
      <c r="F215" s="1">
        <f>SUM($E$10:E215)</f>
        <v>-37149.505700567206</v>
      </c>
    </row>
    <row r="216" spans="3:6" x14ac:dyDescent="0.25">
      <c r="C216">
        <f t="shared" si="9"/>
        <v>207</v>
      </c>
      <c r="D216" s="1">
        <f t="shared" si="10"/>
        <v>-67.720170396739604</v>
      </c>
      <c r="E216" s="1">
        <f t="shared" si="11"/>
        <v>-425.49837963649225</v>
      </c>
      <c r="F216" s="1">
        <f>SUM($E$10:E216)</f>
        <v>-37575.004080203697</v>
      </c>
    </row>
    <row r="217" spans="3:6" x14ac:dyDescent="0.25">
      <c r="C217">
        <f t="shared" si="9"/>
        <v>208</v>
      </c>
      <c r="D217" s="1">
        <f t="shared" si="10"/>
        <v>-68.097161515170384</v>
      </c>
      <c r="E217" s="1">
        <f t="shared" si="11"/>
        <v>-427.86708469275374</v>
      </c>
      <c r="F217" s="1">
        <f>SUM($E$10:E217)</f>
        <v>-38002.871164896453</v>
      </c>
    </row>
    <row r="218" spans="3:6" x14ac:dyDescent="0.25">
      <c r="C218">
        <f t="shared" si="9"/>
        <v>209</v>
      </c>
      <c r="D218" s="1">
        <f t="shared" si="10"/>
        <v>-68.474152633601165</v>
      </c>
      <c r="E218" s="1">
        <f t="shared" si="11"/>
        <v>-430.23578974901523</v>
      </c>
      <c r="F218" s="1">
        <f>SUM($E$10:E218)</f>
        <v>-38433.106954645467</v>
      </c>
    </row>
    <row r="219" spans="3:6" x14ac:dyDescent="0.25">
      <c r="C219">
        <f t="shared" si="9"/>
        <v>210</v>
      </c>
      <c r="D219" s="1">
        <f t="shared" si="10"/>
        <v>-68.851143752031945</v>
      </c>
      <c r="E219" s="1">
        <f t="shared" si="11"/>
        <v>-432.60449480527666</v>
      </c>
      <c r="F219" s="1">
        <f>SUM($E$10:E219)</f>
        <v>-38865.71144945074</v>
      </c>
    </row>
    <row r="220" spans="3:6" x14ac:dyDescent="0.25">
      <c r="C220">
        <f t="shared" si="9"/>
        <v>211</v>
      </c>
      <c r="D220" s="1">
        <f t="shared" si="10"/>
        <v>-69.228134870462725</v>
      </c>
      <c r="E220" s="1">
        <f t="shared" si="11"/>
        <v>-434.97319986153815</v>
      </c>
      <c r="F220" s="1">
        <f>SUM($E$10:E220)</f>
        <v>-39300.684649312279</v>
      </c>
    </row>
    <row r="221" spans="3:6" x14ac:dyDescent="0.25">
      <c r="C221">
        <f t="shared" si="9"/>
        <v>212</v>
      </c>
      <c r="D221" s="1">
        <f t="shared" si="10"/>
        <v>-69.605125988893505</v>
      </c>
      <c r="E221" s="1">
        <f t="shared" si="11"/>
        <v>-437.34190491779964</v>
      </c>
      <c r="F221" s="1">
        <f>SUM($E$10:E221)</f>
        <v>-39738.026554230077</v>
      </c>
    </row>
    <row r="222" spans="3:6" x14ac:dyDescent="0.25">
      <c r="C222">
        <f t="shared" ref="C222:C285" si="12">C221+1</f>
        <v>213</v>
      </c>
      <c r="D222" s="1">
        <f t="shared" ref="D222:D285" si="13">D221-(PI()*$D$4/100)</f>
        <v>-69.982117107324285</v>
      </c>
      <c r="E222" s="1">
        <f t="shared" si="11"/>
        <v>-439.71060997406113</v>
      </c>
      <c r="F222" s="1">
        <f>SUM($E$10:E222)</f>
        <v>-40177.73716420414</v>
      </c>
    </row>
    <row r="223" spans="3:6" x14ac:dyDescent="0.25">
      <c r="C223">
        <f t="shared" si="12"/>
        <v>214</v>
      </c>
      <c r="D223" s="1">
        <f t="shared" si="13"/>
        <v>-70.359108225755065</v>
      </c>
      <c r="E223" s="1">
        <f t="shared" si="11"/>
        <v>-442.07931503032262</v>
      </c>
      <c r="F223" s="1">
        <f>SUM($E$10:E223)</f>
        <v>-40619.816479234461</v>
      </c>
    </row>
    <row r="224" spans="3:6" x14ac:dyDescent="0.25">
      <c r="C224">
        <f t="shared" si="12"/>
        <v>215</v>
      </c>
      <c r="D224" s="1">
        <f t="shared" si="13"/>
        <v>-70.736099344185845</v>
      </c>
      <c r="E224" s="1">
        <f t="shared" si="11"/>
        <v>-444.44802008658405</v>
      </c>
      <c r="F224" s="1">
        <f>SUM($E$10:E224)</f>
        <v>-41064.264499321049</v>
      </c>
    </row>
    <row r="225" spans="3:6" x14ac:dyDescent="0.25">
      <c r="C225">
        <f t="shared" si="12"/>
        <v>216</v>
      </c>
      <c r="D225" s="1">
        <f t="shared" si="13"/>
        <v>-71.113090462616626</v>
      </c>
      <c r="E225" s="1">
        <f t="shared" si="11"/>
        <v>-446.81672514284554</v>
      </c>
      <c r="F225" s="1">
        <f>SUM($E$10:E225)</f>
        <v>-41511.081224463895</v>
      </c>
    </row>
    <row r="226" spans="3:6" x14ac:dyDescent="0.25">
      <c r="C226">
        <f t="shared" si="12"/>
        <v>217</v>
      </c>
      <c r="D226" s="1">
        <f t="shared" si="13"/>
        <v>-71.490081581047406</v>
      </c>
      <c r="E226" s="1">
        <f t="shared" si="11"/>
        <v>-449.18543019910703</v>
      </c>
      <c r="F226" s="1">
        <f>SUM($E$10:E226)</f>
        <v>-41960.266654662999</v>
      </c>
    </row>
    <row r="227" spans="3:6" x14ac:dyDescent="0.25">
      <c r="C227">
        <f t="shared" si="12"/>
        <v>218</v>
      </c>
      <c r="D227" s="1">
        <f t="shared" si="13"/>
        <v>-71.867072699478186</v>
      </c>
      <c r="E227" s="1">
        <f t="shared" si="11"/>
        <v>-451.55413525536852</v>
      </c>
      <c r="F227" s="1">
        <f>SUM($E$10:E227)</f>
        <v>-42411.820789918369</v>
      </c>
    </row>
    <row r="228" spans="3:6" x14ac:dyDescent="0.25">
      <c r="C228">
        <f t="shared" si="12"/>
        <v>219</v>
      </c>
      <c r="D228" s="1">
        <f t="shared" si="13"/>
        <v>-72.244063817908966</v>
      </c>
      <c r="E228" s="1">
        <f t="shared" si="11"/>
        <v>-453.92284031162995</v>
      </c>
      <c r="F228" s="1">
        <f>SUM($E$10:E228)</f>
        <v>-42865.743630229998</v>
      </c>
    </row>
    <row r="229" spans="3:6" x14ac:dyDescent="0.25">
      <c r="C229">
        <f t="shared" si="12"/>
        <v>220</v>
      </c>
      <c r="D229" s="1">
        <f t="shared" si="13"/>
        <v>-72.621054936339746</v>
      </c>
      <c r="E229" s="1">
        <f t="shared" si="11"/>
        <v>-456.29154536789144</v>
      </c>
      <c r="F229" s="1">
        <f>SUM($E$10:E229)</f>
        <v>-43322.035175597892</v>
      </c>
    </row>
    <row r="230" spans="3:6" x14ac:dyDescent="0.25">
      <c r="C230">
        <f t="shared" si="12"/>
        <v>221</v>
      </c>
      <c r="D230" s="1">
        <f t="shared" si="13"/>
        <v>-72.998046054770526</v>
      </c>
      <c r="E230" s="1">
        <f t="shared" si="11"/>
        <v>-458.66025042415293</v>
      </c>
      <c r="F230" s="1">
        <f>SUM($E$10:E230)</f>
        <v>-43780.695426022045</v>
      </c>
    </row>
    <row r="231" spans="3:6" x14ac:dyDescent="0.25">
      <c r="C231">
        <f t="shared" si="12"/>
        <v>222</v>
      </c>
      <c r="D231" s="1">
        <f t="shared" si="13"/>
        <v>-73.375037173201306</v>
      </c>
      <c r="E231" s="1">
        <f t="shared" si="11"/>
        <v>-461.02895548041442</v>
      </c>
      <c r="F231" s="1">
        <f>SUM($E$10:E231)</f>
        <v>-44241.724381502456</v>
      </c>
    </row>
    <row r="232" spans="3:6" x14ac:dyDescent="0.25">
      <c r="C232">
        <f t="shared" si="12"/>
        <v>223</v>
      </c>
      <c r="D232" s="1">
        <f t="shared" si="13"/>
        <v>-73.752028291632087</v>
      </c>
      <c r="E232" s="1">
        <f t="shared" si="11"/>
        <v>-463.39766053667591</v>
      </c>
      <c r="F232" s="1">
        <f>SUM($E$10:E232)</f>
        <v>-44705.122042039133</v>
      </c>
    </row>
    <row r="233" spans="3:6" x14ac:dyDescent="0.25">
      <c r="C233">
        <f t="shared" si="12"/>
        <v>224</v>
      </c>
      <c r="D233" s="1">
        <f t="shared" si="13"/>
        <v>-74.129019410062867</v>
      </c>
      <c r="E233" s="1">
        <f t="shared" si="11"/>
        <v>-465.76636559293735</v>
      </c>
      <c r="F233" s="1">
        <f>SUM($E$10:E233)</f>
        <v>-45170.888407632068</v>
      </c>
    </row>
    <row r="234" spans="3:6" x14ac:dyDescent="0.25">
      <c r="C234">
        <f t="shared" si="12"/>
        <v>225</v>
      </c>
      <c r="D234" s="1">
        <f t="shared" si="13"/>
        <v>-74.506010528493647</v>
      </c>
      <c r="E234" s="1">
        <f t="shared" si="11"/>
        <v>-468.13507064919884</v>
      </c>
      <c r="F234" s="1">
        <f>SUM($E$10:E234)</f>
        <v>-45639.023478281269</v>
      </c>
    </row>
    <row r="235" spans="3:6" x14ac:dyDescent="0.25">
      <c r="C235">
        <f t="shared" si="12"/>
        <v>226</v>
      </c>
      <c r="D235" s="1">
        <f t="shared" si="13"/>
        <v>-74.883001646924427</v>
      </c>
      <c r="E235" s="1">
        <f t="shared" si="11"/>
        <v>-470.50377570546033</v>
      </c>
      <c r="F235" s="1">
        <f>SUM($E$10:E235)</f>
        <v>-46109.527253986729</v>
      </c>
    </row>
    <row r="236" spans="3:6" x14ac:dyDescent="0.25">
      <c r="C236">
        <f t="shared" si="12"/>
        <v>227</v>
      </c>
      <c r="D236" s="1">
        <f t="shared" si="13"/>
        <v>-75.259992765355207</v>
      </c>
      <c r="E236" s="1">
        <f t="shared" si="11"/>
        <v>-472.87248076172182</v>
      </c>
      <c r="F236" s="1">
        <f>SUM($E$10:E236)</f>
        <v>-46582.399734748455</v>
      </c>
    </row>
    <row r="237" spans="3:6" x14ac:dyDescent="0.25">
      <c r="C237">
        <f t="shared" si="12"/>
        <v>228</v>
      </c>
      <c r="D237" s="1">
        <f t="shared" si="13"/>
        <v>-75.636983883785987</v>
      </c>
      <c r="E237" s="1">
        <f t="shared" si="11"/>
        <v>-475.24118581798325</v>
      </c>
      <c r="F237" s="1">
        <f>SUM($E$10:E237)</f>
        <v>-47057.640920566439</v>
      </c>
    </row>
    <row r="238" spans="3:6" x14ac:dyDescent="0.25">
      <c r="C238">
        <f t="shared" si="12"/>
        <v>229</v>
      </c>
      <c r="D238" s="1">
        <f t="shared" si="13"/>
        <v>-76.013975002216768</v>
      </c>
      <c r="E238" s="1">
        <f t="shared" si="11"/>
        <v>-477.60989087424474</v>
      </c>
      <c r="F238" s="1">
        <f>SUM($E$10:E238)</f>
        <v>-47535.250811440681</v>
      </c>
    </row>
    <row r="239" spans="3:6" x14ac:dyDescent="0.25">
      <c r="C239">
        <f t="shared" si="12"/>
        <v>230</v>
      </c>
      <c r="D239" s="1">
        <f t="shared" si="13"/>
        <v>-76.390966120647548</v>
      </c>
      <c r="E239" s="1">
        <f t="shared" si="11"/>
        <v>-479.97859593050623</v>
      </c>
      <c r="F239" s="1">
        <f>SUM($E$10:E239)</f>
        <v>-48015.229407371189</v>
      </c>
    </row>
    <row r="240" spans="3:6" x14ac:dyDescent="0.25">
      <c r="C240">
        <f t="shared" si="12"/>
        <v>231</v>
      </c>
      <c r="D240" s="1">
        <f t="shared" si="13"/>
        <v>-76.767957239078328</v>
      </c>
      <c r="E240" s="1">
        <f t="shared" si="11"/>
        <v>-482.34730098676772</v>
      </c>
      <c r="F240" s="1">
        <f>SUM($E$10:E240)</f>
        <v>-48497.576708357956</v>
      </c>
    </row>
    <row r="241" spans="3:6" x14ac:dyDescent="0.25">
      <c r="C241">
        <f t="shared" si="12"/>
        <v>232</v>
      </c>
      <c r="D241" s="1">
        <f t="shared" si="13"/>
        <v>-77.144948357509108</v>
      </c>
      <c r="E241" s="1">
        <f t="shared" si="11"/>
        <v>-484.71600604302915</v>
      </c>
      <c r="F241" s="1">
        <f>SUM($E$10:E241)</f>
        <v>-48982.292714400988</v>
      </c>
    </row>
    <row r="242" spans="3:6" x14ac:dyDescent="0.25">
      <c r="C242">
        <f t="shared" si="12"/>
        <v>233</v>
      </c>
      <c r="D242" s="1">
        <f t="shared" si="13"/>
        <v>-77.521939475939888</v>
      </c>
      <c r="E242" s="1">
        <f t="shared" si="11"/>
        <v>-487.08471109929064</v>
      </c>
      <c r="F242" s="1">
        <f>SUM($E$10:E242)</f>
        <v>-49469.377425500279</v>
      </c>
    </row>
    <row r="243" spans="3:6" x14ac:dyDescent="0.25">
      <c r="C243">
        <f t="shared" si="12"/>
        <v>234</v>
      </c>
      <c r="D243" s="1">
        <f t="shared" si="13"/>
        <v>-77.898930594370668</v>
      </c>
      <c r="E243" s="1">
        <f t="shared" si="11"/>
        <v>-489.45341615555213</v>
      </c>
      <c r="F243" s="1">
        <f>SUM($E$10:E243)</f>
        <v>-49958.830841655828</v>
      </c>
    </row>
    <row r="244" spans="3:6" x14ac:dyDescent="0.25">
      <c r="C244">
        <f t="shared" si="12"/>
        <v>235</v>
      </c>
      <c r="D244" s="1">
        <f t="shared" si="13"/>
        <v>-78.275921712801448</v>
      </c>
      <c r="E244" s="1">
        <f t="shared" si="11"/>
        <v>-491.82212121181362</v>
      </c>
      <c r="F244" s="1">
        <f>SUM($E$10:E244)</f>
        <v>-50450.652962867644</v>
      </c>
    </row>
    <row r="245" spans="3:6" x14ac:dyDescent="0.25">
      <c r="C245">
        <f t="shared" si="12"/>
        <v>236</v>
      </c>
      <c r="D245" s="1">
        <f t="shared" si="13"/>
        <v>-78.652912831232229</v>
      </c>
      <c r="E245" s="1">
        <f t="shared" si="11"/>
        <v>-494.19082626807511</v>
      </c>
      <c r="F245" s="1">
        <f>SUM($E$10:E245)</f>
        <v>-50944.843789135717</v>
      </c>
    </row>
    <row r="246" spans="3:6" x14ac:dyDescent="0.25">
      <c r="C246">
        <f t="shared" si="12"/>
        <v>237</v>
      </c>
      <c r="D246" s="1">
        <f t="shared" si="13"/>
        <v>-79.029903949663009</v>
      </c>
      <c r="E246" s="1">
        <f t="shared" si="11"/>
        <v>-496.55953132433655</v>
      </c>
      <c r="F246" s="1">
        <f>SUM($E$10:E246)</f>
        <v>-51441.403320460056</v>
      </c>
    </row>
    <row r="247" spans="3:6" x14ac:dyDescent="0.25">
      <c r="C247">
        <f t="shared" si="12"/>
        <v>238</v>
      </c>
      <c r="D247" s="1">
        <f t="shared" si="13"/>
        <v>-79.406895068093789</v>
      </c>
      <c r="E247" s="1">
        <f t="shared" si="11"/>
        <v>-498.92823638059804</v>
      </c>
      <c r="F247" s="1">
        <f>SUM($E$10:E247)</f>
        <v>-51940.331556840654</v>
      </c>
    </row>
    <row r="248" spans="3:6" x14ac:dyDescent="0.25">
      <c r="C248">
        <f t="shared" si="12"/>
        <v>239</v>
      </c>
      <c r="D248" s="1">
        <f t="shared" si="13"/>
        <v>-79.783886186524569</v>
      </c>
      <c r="E248" s="1">
        <f t="shared" si="11"/>
        <v>-501.29694143685953</v>
      </c>
      <c r="F248" s="1">
        <f>SUM($E$10:E248)</f>
        <v>-52441.628498277511</v>
      </c>
    </row>
    <row r="249" spans="3:6" x14ac:dyDescent="0.25">
      <c r="C249">
        <f t="shared" si="12"/>
        <v>240</v>
      </c>
      <c r="D249" s="1">
        <f t="shared" si="13"/>
        <v>-80.160877304955349</v>
      </c>
      <c r="E249" s="1">
        <f t="shared" si="11"/>
        <v>-503.66564649312102</v>
      </c>
      <c r="F249" s="1">
        <f>SUM($E$10:E249)</f>
        <v>-52945.294144770633</v>
      </c>
    </row>
    <row r="250" spans="3:6" x14ac:dyDescent="0.25">
      <c r="C250">
        <f t="shared" si="12"/>
        <v>241</v>
      </c>
      <c r="D250" s="1">
        <f t="shared" si="13"/>
        <v>-80.537868423386129</v>
      </c>
      <c r="E250" s="1">
        <f t="shared" si="11"/>
        <v>-506.03435154938245</v>
      </c>
      <c r="F250" s="1">
        <f>SUM($E$10:E250)</f>
        <v>-53451.328496320013</v>
      </c>
    </row>
    <row r="251" spans="3:6" x14ac:dyDescent="0.25">
      <c r="C251">
        <f t="shared" si="12"/>
        <v>242</v>
      </c>
      <c r="D251" s="1">
        <f t="shared" si="13"/>
        <v>-80.914859541816909</v>
      </c>
      <c r="E251" s="1">
        <f t="shared" si="11"/>
        <v>-508.40305660564394</v>
      </c>
      <c r="F251" s="1">
        <f>SUM($E$10:E251)</f>
        <v>-53959.731552925659</v>
      </c>
    </row>
    <row r="252" spans="3:6" x14ac:dyDescent="0.25">
      <c r="C252">
        <f t="shared" si="12"/>
        <v>243</v>
      </c>
      <c r="D252" s="1">
        <f t="shared" si="13"/>
        <v>-81.29185066024769</v>
      </c>
      <c r="E252" s="1">
        <f t="shared" si="11"/>
        <v>-510.77176166190543</v>
      </c>
      <c r="F252" s="1">
        <f>SUM($E$10:E252)</f>
        <v>-54470.503314587564</v>
      </c>
    </row>
    <row r="253" spans="3:6" x14ac:dyDescent="0.25">
      <c r="C253">
        <f t="shared" si="12"/>
        <v>244</v>
      </c>
      <c r="D253" s="1">
        <f t="shared" si="13"/>
        <v>-81.66884177867847</v>
      </c>
      <c r="E253" s="1">
        <f t="shared" si="11"/>
        <v>-513.14046671816686</v>
      </c>
      <c r="F253" s="1">
        <f>SUM($E$10:E253)</f>
        <v>-54983.643781305727</v>
      </c>
    </row>
    <row r="254" spans="3:6" x14ac:dyDescent="0.25">
      <c r="C254">
        <f t="shared" si="12"/>
        <v>245</v>
      </c>
      <c r="D254" s="1">
        <f t="shared" si="13"/>
        <v>-82.04583289710925</v>
      </c>
      <c r="E254" s="1">
        <f t="shared" si="11"/>
        <v>-515.50917177442841</v>
      </c>
      <c r="F254" s="1">
        <f>SUM($E$10:E254)</f>
        <v>-55499.152953080156</v>
      </c>
    </row>
    <row r="255" spans="3:6" x14ac:dyDescent="0.25">
      <c r="C255">
        <f t="shared" si="12"/>
        <v>246</v>
      </c>
      <c r="D255" s="1">
        <f t="shared" si="13"/>
        <v>-82.42282401554003</v>
      </c>
      <c r="E255" s="1">
        <f t="shared" si="11"/>
        <v>-517.87787683068984</v>
      </c>
      <c r="F255" s="1">
        <f>SUM($E$10:E255)</f>
        <v>-56017.030829910844</v>
      </c>
    </row>
    <row r="256" spans="3:6" x14ac:dyDescent="0.25">
      <c r="C256">
        <f t="shared" si="12"/>
        <v>247</v>
      </c>
      <c r="D256" s="1">
        <f t="shared" si="13"/>
        <v>-82.79981513397081</v>
      </c>
      <c r="E256" s="1">
        <f t="shared" si="11"/>
        <v>-520.24658188695139</v>
      </c>
      <c r="F256" s="1">
        <f>SUM($E$10:E256)</f>
        <v>-56537.277411797797</v>
      </c>
    </row>
    <row r="257" spans="3:6" x14ac:dyDescent="0.25">
      <c r="C257">
        <f t="shared" si="12"/>
        <v>248</v>
      </c>
      <c r="D257" s="1">
        <f t="shared" si="13"/>
        <v>-83.17680625240159</v>
      </c>
      <c r="E257" s="1">
        <f t="shared" si="11"/>
        <v>-522.61528694321282</v>
      </c>
      <c r="F257" s="1">
        <f>SUM($E$10:E257)</f>
        <v>-57059.892698741009</v>
      </c>
    </row>
    <row r="258" spans="3:6" x14ac:dyDescent="0.25">
      <c r="C258">
        <f t="shared" si="12"/>
        <v>249</v>
      </c>
      <c r="D258" s="1">
        <f t="shared" si="13"/>
        <v>-83.55379737083237</v>
      </c>
      <c r="E258" s="1">
        <f t="shared" si="11"/>
        <v>-524.98399199947426</v>
      </c>
      <c r="F258" s="1">
        <f>SUM($E$10:E258)</f>
        <v>-57584.876690740486</v>
      </c>
    </row>
    <row r="259" spans="3:6" x14ac:dyDescent="0.25">
      <c r="C259">
        <f t="shared" si="12"/>
        <v>250</v>
      </c>
      <c r="D259" s="1">
        <f t="shared" si="13"/>
        <v>-83.930788489263151</v>
      </c>
      <c r="E259" s="1">
        <f t="shared" si="11"/>
        <v>-527.3526970557358</v>
      </c>
      <c r="F259" s="1">
        <f>SUM($E$10:E259)</f>
        <v>-58112.229387796222</v>
      </c>
    </row>
    <row r="260" spans="3:6" x14ac:dyDescent="0.25">
      <c r="C260">
        <f t="shared" si="12"/>
        <v>251</v>
      </c>
      <c r="D260" s="1">
        <f t="shared" si="13"/>
        <v>-84.307779607693931</v>
      </c>
      <c r="E260" s="1">
        <f t="shared" si="11"/>
        <v>-529.72140211199724</v>
      </c>
      <c r="F260" s="1">
        <f>SUM($E$10:E260)</f>
        <v>-58641.950789908216</v>
      </c>
    </row>
    <row r="261" spans="3:6" x14ac:dyDescent="0.25">
      <c r="C261">
        <f t="shared" si="12"/>
        <v>252</v>
      </c>
      <c r="D261" s="1">
        <f t="shared" si="13"/>
        <v>-84.684770726124711</v>
      </c>
      <c r="E261" s="1">
        <f t="shared" si="11"/>
        <v>-532.09010716825867</v>
      </c>
      <c r="F261" s="1">
        <f>SUM($E$10:E261)</f>
        <v>-59174.040897076477</v>
      </c>
    </row>
    <row r="262" spans="3:6" x14ac:dyDescent="0.25">
      <c r="C262">
        <f t="shared" si="12"/>
        <v>253</v>
      </c>
      <c r="D262" s="1">
        <f t="shared" si="13"/>
        <v>-85.061761844555491</v>
      </c>
      <c r="E262" s="1">
        <f t="shared" si="11"/>
        <v>-534.45881222452022</v>
      </c>
      <c r="F262" s="1">
        <f>SUM($E$10:E262)</f>
        <v>-59708.499709300995</v>
      </c>
    </row>
    <row r="263" spans="3:6" x14ac:dyDescent="0.25">
      <c r="C263">
        <f t="shared" si="12"/>
        <v>254</v>
      </c>
      <c r="D263" s="1">
        <f t="shared" si="13"/>
        <v>-85.438752962986271</v>
      </c>
      <c r="E263" s="1">
        <f t="shared" si="11"/>
        <v>-536.82751728078165</v>
      </c>
      <c r="F263" s="1">
        <f>SUM($E$10:E263)</f>
        <v>-60245.32722658178</v>
      </c>
    </row>
    <row r="264" spans="3:6" x14ac:dyDescent="0.25">
      <c r="C264">
        <f t="shared" si="12"/>
        <v>255</v>
      </c>
      <c r="D264" s="1">
        <f t="shared" si="13"/>
        <v>-85.815744081417051</v>
      </c>
      <c r="E264" s="1">
        <f t="shared" si="11"/>
        <v>-539.1962223370432</v>
      </c>
      <c r="F264" s="1">
        <f>SUM($E$10:E264)</f>
        <v>-60784.523448918822</v>
      </c>
    </row>
    <row r="265" spans="3:6" x14ac:dyDescent="0.25">
      <c r="C265">
        <f t="shared" si="12"/>
        <v>256</v>
      </c>
      <c r="D265" s="1">
        <f t="shared" si="13"/>
        <v>-86.192735199847831</v>
      </c>
      <c r="E265" s="1">
        <f t="shared" si="11"/>
        <v>-541.56492739330463</v>
      </c>
      <c r="F265" s="1">
        <f>SUM($E$10:E265)</f>
        <v>-61326.088376312124</v>
      </c>
    </row>
    <row r="266" spans="3:6" x14ac:dyDescent="0.25">
      <c r="C266">
        <f t="shared" si="12"/>
        <v>257</v>
      </c>
      <c r="D266" s="1">
        <f t="shared" si="13"/>
        <v>-86.569726318278612</v>
      </c>
      <c r="E266" s="1">
        <f t="shared" si="11"/>
        <v>-543.93363244956606</v>
      </c>
      <c r="F266" s="1">
        <f>SUM($E$10:E266)</f>
        <v>-61870.022008761691</v>
      </c>
    </row>
    <row r="267" spans="3:6" x14ac:dyDescent="0.25">
      <c r="C267">
        <f t="shared" si="12"/>
        <v>258</v>
      </c>
      <c r="D267" s="1">
        <f t="shared" si="13"/>
        <v>-86.946717436709392</v>
      </c>
      <c r="E267" s="1">
        <f t="shared" ref="E267:E330" si="14">2*D267*PI()</f>
        <v>-546.30233750582761</v>
      </c>
      <c r="F267" s="1">
        <f>SUM($E$10:E267)</f>
        <v>-62416.324346267516</v>
      </c>
    </row>
    <row r="268" spans="3:6" x14ac:dyDescent="0.25">
      <c r="C268">
        <f t="shared" si="12"/>
        <v>259</v>
      </c>
      <c r="D268" s="1">
        <f t="shared" si="13"/>
        <v>-87.323708555140172</v>
      </c>
      <c r="E268" s="1">
        <f t="shared" si="14"/>
        <v>-548.67104256208904</v>
      </c>
      <c r="F268" s="1">
        <f>SUM($E$10:E268)</f>
        <v>-62964.995388829608</v>
      </c>
    </row>
    <row r="269" spans="3:6" x14ac:dyDescent="0.25">
      <c r="C269">
        <f t="shared" si="12"/>
        <v>260</v>
      </c>
      <c r="D269" s="1">
        <f t="shared" si="13"/>
        <v>-87.700699673570952</v>
      </c>
      <c r="E269" s="1">
        <f t="shared" si="14"/>
        <v>-551.03974761835059</v>
      </c>
      <c r="F269" s="1">
        <f>SUM($E$10:E269)</f>
        <v>-63516.035136447957</v>
      </c>
    </row>
    <row r="270" spans="3:6" x14ac:dyDescent="0.25">
      <c r="C270">
        <f t="shared" si="12"/>
        <v>261</v>
      </c>
      <c r="D270" s="1">
        <f t="shared" si="13"/>
        <v>-88.077690792001732</v>
      </c>
      <c r="E270" s="1">
        <f t="shared" si="14"/>
        <v>-553.40845267461202</v>
      </c>
      <c r="F270" s="1">
        <f>SUM($E$10:E270)</f>
        <v>-64069.443589122573</v>
      </c>
    </row>
    <row r="271" spans="3:6" x14ac:dyDescent="0.25">
      <c r="C271">
        <f t="shared" si="12"/>
        <v>262</v>
      </c>
      <c r="D271" s="1">
        <f t="shared" si="13"/>
        <v>-88.454681910432512</v>
      </c>
      <c r="E271" s="1">
        <f t="shared" si="14"/>
        <v>-555.77715773087345</v>
      </c>
      <c r="F271" s="1">
        <f>SUM($E$10:E271)</f>
        <v>-64625.220746853447</v>
      </c>
    </row>
    <row r="272" spans="3:6" x14ac:dyDescent="0.25">
      <c r="C272">
        <f t="shared" si="12"/>
        <v>263</v>
      </c>
      <c r="D272" s="1">
        <f t="shared" si="13"/>
        <v>-88.831673028863293</v>
      </c>
      <c r="E272" s="1">
        <f t="shared" si="14"/>
        <v>-558.145862787135</v>
      </c>
      <c r="F272" s="1">
        <f>SUM($E$10:E272)</f>
        <v>-65183.36660964058</v>
      </c>
    </row>
    <row r="273" spans="3:6" x14ac:dyDescent="0.25">
      <c r="C273">
        <f t="shared" si="12"/>
        <v>264</v>
      </c>
      <c r="D273" s="1">
        <f t="shared" si="13"/>
        <v>-89.208664147294073</v>
      </c>
      <c r="E273" s="1">
        <f t="shared" si="14"/>
        <v>-560.51456784339643</v>
      </c>
      <c r="F273" s="1">
        <f>SUM($E$10:E273)</f>
        <v>-65743.881177483971</v>
      </c>
    </row>
    <row r="274" spans="3:6" x14ac:dyDescent="0.25">
      <c r="C274">
        <f t="shared" si="12"/>
        <v>265</v>
      </c>
      <c r="D274" s="1">
        <f t="shared" si="13"/>
        <v>-89.585655265724853</v>
      </c>
      <c r="E274" s="1">
        <f t="shared" si="14"/>
        <v>-562.88327289965798</v>
      </c>
      <c r="F274" s="1">
        <f>SUM($E$10:E274)</f>
        <v>-66306.764450383635</v>
      </c>
    </row>
    <row r="275" spans="3:6" x14ac:dyDescent="0.25">
      <c r="C275">
        <f t="shared" si="12"/>
        <v>266</v>
      </c>
      <c r="D275" s="1">
        <f t="shared" si="13"/>
        <v>-89.962646384155633</v>
      </c>
      <c r="E275" s="1">
        <f t="shared" si="14"/>
        <v>-565.25197795591941</v>
      </c>
      <c r="F275" s="1">
        <f>SUM($E$10:E275)</f>
        <v>-66872.016428339557</v>
      </c>
    </row>
    <row r="276" spans="3:6" x14ac:dyDescent="0.25">
      <c r="C276">
        <f t="shared" si="12"/>
        <v>267</v>
      </c>
      <c r="D276" s="1">
        <f t="shared" si="13"/>
        <v>-90.339637502586413</v>
      </c>
      <c r="E276" s="1">
        <f t="shared" si="14"/>
        <v>-567.62068301218085</v>
      </c>
      <c r="F276" s="1">
        <f>SUM($E$10:E276)</f>
        <v>-67439.637111351738</v>
      </c>
    </row>
    <row r="277" spans="3:6" x14ac:dyDescent="0.25">
      <c r="C277">
        <f t="shared" si="12"/>
        <v>268</v>
      </c>
      <c r="D277" s="1">
        <f t="shared" si="13"/>
        <v>-90.716628621017193</v>
      </c>
      <c r="E277" s="1">
        <f t="shared" si="14"/>
        <v>-569.98938806844239</v>
      </c>
      <c r="F277" s="1">
        <f>SUM($E$10:E277)</f>
        <v>-68009.626499420177</v>
      </c>
    </row>
    <row r="278" spans="3:6" x14ac:dyDescent="0.25">
      <c r="C278">
        <f t="shared" si="12"/>
        <v>269</v>
      </c>
      <c r="D278" s="1">
        <f t="shared" si="13"/>
        <v>-91.093619739447973</v>
      </c>
      <c r="E278" s="1">
        <f t="shared" si="14"/>
        <v>-572.35809312470383</v>
      </c>
      <c r="F278" s="1">
        <f>SUM($E$10:E278)</f>
        <v>-68581.984592544875</v>
      </c>
    </row>
    <row r="279" spans="3:6" x14ac:dyDescent="0.25">
      <c r="C279">
        <f t="shared" si="12"/>
        <v>270</v>
      </c>
      <c r="D279" s="1">
        <f t="shared" si="13"/>
        <v>-91.470610857878754</v>
      </c>
      <c r="E279" s="1">
        <f t="shared" si="14"/>
        <v>-574.72679818096526</v>
      </c>
      <c r="F279" s="1">
        <f>SUM($E$10:E279)</f>
        <v>-69156.711390725846</v>
      </c>
    </row>
    <row r="280" spans="3:6" x14ac:dyDescent="0.25">
      <c r="C280">
        <f t="shared" si="12"/>
        <v>271</v>
      </c>
      <c r="D280" s="1">
        <f t="shared" si="13"/>
        <v>-91.847601976309534</v>
      </c>
      <c r="E280" s="1">
        <f t="shared" si="14"/>
        <v>-577.09550323722681</v>
      </c>
      <c r="F280" s="1">
        <f>SUM($E$10:E280)</f>
        <v>-69733.806893963076</v>
      </c>
    </row>
    <row r="281" spans="3:6" x14ac:dyDescent="0.25">
      <c r="C281">
        <f t="shared" si="12"/>
        <v>272</v>
      </c>
      <c r="D281" s="1">
        <f t="shared" si="13"/>
        <v>-92.224593094740314</v>
      </c>
      <c r="E281" s="1">
        <f t="shared" si="14"/>
        <v>-579.46420829348824</v>
      </c>
      <c r="F281" s="1">
        <f>SUM($E$10:E281)</f>
        <v>-70313.271102256564</v>
      </c>
    </row>
    <row r="282" spans="3:6" x14ac:dyDescent="0.25">
      <c r="C282">
        <f t="shared" si="12"/>
        <v>273</v>
      </c>
      <c r="D282" s="1">
        <f t="shared" si="13"/>
        <v>-92.601584213171094</v>
      </c>
      <c r="E282" s="1">
        <f t="shared" si="14"/>
        <v>-581.83291334974979</v>
      </c>
      <c r="F282" s="1">
        <f>SUM($E$10:E282)</f>
        <v>-70895.10401560631</v>
      </c>
    </row>
    <row r="283" spans="3:6" x14ac:dyDescent="0.25">
      <c r="C283">
        <f t="shared" si="12"/>
        <v>274</v>
      </c>
      <c r="D283" s="1">
        <f t="shared" si="13"/>
        <v>-92.978575331601874</v>
      </c>
      <c r="E283" s="1">
        <f t="shared" si="14"/>
        <v>-584.20161840601122</v>
      </c>
      <c r="F283" s="1">
        <f>SUM($E$10:E283)</f>
        <v>-71479.305634012315</v>
      </c>
    </row>
    <row r="284" spans="3:6" x14ac:dyDescent="0.25">
      <c r="C284">
        <f t="shared" si="12"/>
        <v>275</v>
      </c>
      <c r="D284" s="1">
        <f t="shared" si="13"/>
        <v>-93.355566450032654</v>
      </c>
      <c r="E284" s="1">
        <f t="shared" si="14"/>
        <v>-586.57032346227265</v>
      </c>
      <c r="F284" s="1">
        <f>SUM($E$10:E284)</f>
        <v>-72065.875957474593</v>
      </c>
    </row>
    <row r="285" spans="3:6" x14ac:dyDescent="0.25">
      <c r="C285">
        <f t="shared" si="12"/>
        <v>276</v>
      </c>
      <c r="D285" s="1">
        <f t="shared" si="13"/>
        <v>-93.732557568463434</v>
      </c>
      <c r="E285" s="1">
        <f t="shared" si="14"/>
        <v>-588.9390285185342</v>
      </c>
      <c r="F285" s="1">
        <f>SUM($E$10:E285)</f>
        <v>-72654.814985993129</v>
      </c>
    </row>
    <row r="286" spans="3:6" x14ac:dyDescent="0.25">
      <c r="C286">
        <f t="shared" ref="C286:C349" si="15">C285+1</f>
        <v>277</v>
      </c>
      <c r="D286" s="1">
        <f t="shared" ref="D286:D349" si="16">D285-(PI()*$D$4/100)</f>
        <v>-94.109548686894215</v>
      </c>
      <c r="E286" s="1">
        <f t="shared" si="14"/>
        <v>-591.30773357479563</v>
      </c>
      <c r="F286" s="1">
        <f>SUM($E$10:E286)</f>
        <v>-73246.122719567924</v>
      </c>
    </row>
    <row r="287" spans="3:6" x14ac:dyDescent="0.25">
      <c r="C287">
        <f t="shared" si="15"/>
        <v>278</v>
      </c>
      <c r="D287" s="1">
        <f t="shared" si="16"/>
        <v>-94.486539805324995</v>
      </c>
      <c r="E287" s="1">
        <f t="shared" si="14"/>
        <v>-593.67643863105718</v>
      </c>
      <c r="F287" s="1">
        <f>SUM($E$10:E287)</f>
        <v>-73839.799158198977</v>
      </c>
    </row>
    <row r="288" spans="3:6" x14ac:dyDescent="0.25">
      <c r="C288">
        <f t="shared" si="15"/>
        <v>279</v>
      </c>
      <c r="D288" s="1">
        <f t="shared" si="16"/>
        <v>-94.863530923755775</v>
      </c>
      <c r="E288" s="1">
        <f t="shared" si="14"/>
        <v>-596.04514368731861</v>
      </c>
      <c r="F288" s="1">
        <f>SUM($E$10:E288)</f>
        <v>-74435.844301886289</v>
      </c>
    </row>
    <row r="289" spans="3:6" x14ac:dyDescent="0.25">
      <c r="C289">
        <f t="shared" si="15"/>
        <v>280</v>
      </c>
      <c r="D289" s="1">
        <f t="shared" si="16"/>
        <v>-95.240522042186555</v>
      </c>
      <c r="E289" s="1">
        <f t="shared" si="14"/>
        <v>-598.41384874358005</v>
      </c>
      <c r="F289" s="1">
        <f>SUM($E$10:E289)</f>
        <v>-75034.258150629874</v>
      </c>
    </row>
    <row r="290" spans="3:6" x14ac:dyDescent="0.25">
      <c r="C290">
        <f t="shared" si="15"/>
        <v>281</v>
      </c>
      <c r="D290" s="1">
        <f t="shared" si="16"/>
        <v>-95.617513160617335</v>
      </c>
      <c r="E290" s="1">
        <f t="shared" si="14"/>
        <v>-600.78255379984159</v>
      </c>
      <c r="F290" s="1">
        <f>SUM($E$10:E290)</f>
        <v>-75635.040704429717</v>
      </c>
    </row>
    <row r="291" spans="3:6" x14ac:dyDescent="0.25">
      <c r="C291">
        <f t="shared" si="15"/>
        <v>282</v>
      </c>
      <c r="D291" s="1">
        <f t="shared" si="16"/>
        <v>-95.994504279048115</v>
      </c>
      <c r="E291" s="1">
        <f t="shared" si="14"/>
        <v>-603.15125885610303</v>
      </c>
      <c r="F291" s="1">
        <f>SUM($E$10:E291)</f>
        <v>-76238.191963285819</v>
      </c>
    </row>
    <row r="292" spans="3:6" x14ac:dyDescent="0.25">
      <c r="C292">
        <f t="shared" si="15"/>
        <v>283</v>
      </c>
      <c r="D292" s="1">
        <f t="shared" si="16"/>
        <v>-96.371495397478895</v>
      </c>
      <c r="E292" s="1">
        <f t="shared" si="14"/>
        <v>-605.51996391236446</v>
      </c>
      <c r="F292" s="1">
        <f>SUM($E$10:E292)</f>
        <v>-76843.711927198179</v>
      </c>
    </row>
    <row r="293" spans="3:6" x14ac:dyDescent="0.25">
      <c r="C293">
        <f t="shared" si="15"/>
        <v>284</v>
      </c>
      <c r="D293" s="1">
        <f t="shared" si="16"/>
        <v>-96.748486515909676</v>
      </c>
      <c r="E293" s="1">
        <f t="shared" si="14"/>
        <v>-607.88866896862601</v>
      </c>
      <c r="F293" s="1">
        <f>SUM($E$10:E293)</f>
        <v>-77451.600596166798</v>
      </c>
    </row>
    <row r="294" spans="3:6" x14ac:dyDescent="0.25">
      <c r="C294">
        <f t="shared" si="15"/>
        <v>285</v>
      </c>
      <c r="D294" s="1">
        <f t="shared" si="16"/>
        <v>-97.125477634340456</v>
      </c>
      <c r="E294" s="1">
        <f t="shared" si="14"/>
        <v>-610.25737402488744</v>
      </c>
      <c r="F294" s="1">
        <f>SUM($E$10:E294)</f>
        <v>-78061.85797019169</v>
      </c>
    </row>
    <row r="295" spans="3:6" x14ac:dyDescent="0.25">
      <c r="C295">
        <f t="shared" si="15"/>
        <v>286</v>
      </c>
      <c r="D295" s="1">
        <f t="shared" si="16"/>
        <v>-97.502468752771236</v>
      </c>
      <c r="E295" s="1">
        <f t="shared" si="14"/>
        <v>-612.62607908114899</v>
      </c>
      <c r="F295" s="1">
        <f>SUM($E$10:E295)</f>
        <v>-78674.48404927284</v>
      </c>
    </row>
    <row r="296" spans="3:6" x14ac:dyDescent="0.25">
      <c r="C296">
        <f t="shared" si="15"/>
        <v>287</v>
      </c>
      <c r="D296" s="1">
        <f t="shared" si="16"/>
        <v>-97.879459871202016</v>
      </c>
      <c r="E296" s="1">
        <f t="shared" si="14"/>
        <v>-614.99478413741042</v>
      </c>
      <c r="F296" s="1">
        <f>SUM($E$10:E296)</f>
        <v>-79289.478833410249</v>
      </c>
    </row>
    <row r="297" spans="3:6" x14ac:dyDescent="0.25">
      <c r="C297">
        <f t="shared" si="15"/>
        <v>288</v>
      </c>
      <c r="D297" s="1">
        <f t="shared" si="16"/>
        <v>-98.256450989632796</v>
      </c>
      <c r="E297" s="1">
        <f t="shared" si="14"/>
        <v>-617.36348919367185</v>
      </c>
      <c r="F297" s="1">
        <f>SUM($E$10:E297)</f>
        <v>-79906.842322603916</v>
      </c>
    </row>
    <row r="298" spans="3:6" x14ac:dyDescent="0.25">
      <c r="C298">
        <f t="shared" si="15"/>
        <v>289</v>
      </c>
      <c r="D298" s="1">
        <f t="shared" si="16"/>
        <v>-98.633442108063576</v>
      </c>
      <c r="E298" s="1">
        <f t="shared" si="14"/>
        <v>-619.7321942499334</v>
      </c>
      <c r="F298" s="1">
        <f>SUM($E$10:E298)</f>
        <v>-80526.574516853856</v>
      </c>
    </row>
    <row r="299" spans="3:6" x14ac:dyDescent="0.25">
      <c r="C299">
        <f t="shared" si="15"/>
        <v>290</v>
      </c>
      <c r="D299" s="1">
        <f t="shared" si="16"/>
        <v>-99.010433226494357</v>
      </c>
      <c r="E299" s="1">
        <f t="shared" si="14"/>
        <v>-622.10089930619483</v>
      </c>
      <c r="F299" s="1">
        <f>SUM($E$10:E299)</f>
        <v>-81148.675416160055</v>
      </c>
    </row>
    <row r="300" spans="3:6" x14ac:dyDescent="0.25">
      <c r="C300">
        <f t="shared" si="15"/>
        <v>291</v>
      </c>
      <c r="D300" s="1">
        <f t="shared" si="16"/>
        <v>-99.387424344925137</v>
      </c>
      <c r="E300" s="1">
        <f t="shared" si="14"/>
        <v>-624.46960436245638</v>
      </c>
      <c r="F300" s="1">
        <f>SUM($E$10:E300)</f>
        <v>-81773.145020522512</v>
      </c>
    </row>
    <row r="301" spans="3:6" x14ac:dyDescent="0.25">
      <c r="C301">
        <f t="shared" si="15"/>
        <v>292</v>
      </c>
      <c r="D301" s="1">
        <f t="shared" si="16"/>
        <v>-99.764415463355917</v>
      </c>
      <c r="E301" s="1">
        <f t="shared" si="14"/>
        <v>-626.83830941871781</v>
      </c>
      <c r="F301" s="1">
        <f>SUM($E$10:E301)</f>
        <v>-82399.983329941228</v>
      </c>
    </row>
    <row r="302" spans="3:6" x14ac:dyDescent="0.25">
      <c r="C302">
        <f t="shared" si="15"/>
        <v>293</v>
      </c>
      <c r="D302" s="1">
        <f t="shared" si="16"/>
        <v>-100.1414065817867</v>
      </c>
      <c r="E302" s="1">
        <f t="shared" si="14"/>
        <v>-629.20701447497925</v>
      </c>
      <c r="F302" s="1">
        <f>SUM($E$10:E302)</f>
        <v>-83029.190344416202</v>
      </c>
    </row>
    <row r="303" spans="3:6" x14ac:dyDescent="0.25">
      <c r="C303">
        <f t="shared" si="15"/>
        <v>294</v>
      </c>
      <c r="D303" s="1">
        <f t="shared" si="16"/>
        <v>-100.51839770021748</v>
      </c>
      <c r="E303" s="1">
        <f t="shared" si="14"/>
        <v>-631.57571953124079</v>
      </c>
      <c r="F303" s="1">
        <f>SUM($E$10:E303)</f>
        <v>-83660.766063947449</v>
      </c>
    </row>
    <row r="304" spans="3:6" x14ac:dyDescent="0.25">
      <c r="C304">
        <f t="shared" si="15"/>
        <v>295</v>
      </c>
      <c r="D304" s="1">
        <f t="shared" si="16"/>
        <v>-100.89538881864826</v>
      </c>
      <c r="E304" s="1">
        <f t="shared" si="14"/>
        <v>-633.94442458750223</v>
      </c>
      <c r="F304" s="1">
        <f>SUM($E$10:E304)</f>
        <v>-84294.710488534954</v>
      </c>
    </row>
    <row r="305" spans="3:6" x14ac:dyDescent="0.25">
      <c r="C305">
        <f t="shared" si="15"/>
        <v>296</v>
      </c>
      <c r="D305" s="1">
        <f t="shared" si="16"/>
        <v>-101.27237993707904</v>
      </c>
      <c r="E305" s="1">
        <f t="shared" si="14"/>
        <v>-636.31312964376377</v>
      </c>
      <c r="F305" s="1">
        <f>SUM($E$10:E305)</f>
        <v>-84931.023618178719</v>
      </c>
    </row>
    <row r="306" spans="3:6" x14ac:dyDescent="0.25">
      <c r="C306">
        <f t="shared" si="15"/>
        <v>297</v>
      </c>
      <c r="D306" s="1">
        <f t="shared" si="16"/>
        <v>-101.64937105550982</v>
      </c>
      <c r="E306" s="1">
        <f t="shared" si="14"/>
        <v>-638.68183470002521</v>
      </c>
      <c r="F306" s="1">
        <f>SUM($E$10:E306)</f>
        <v>-85569.705452878741</v>
      </c>
    </row>
    <row r="307" spans="3:6" x14ac:dyDescent="0.25">
      <c r="C307">
        <f t="shared" si="15"/>
        <v>298</v>
      </c>
      <c r="D307" s="1">
        <f t="shared" si="16"/>
        <v>-102.0263621739406</v>
      </c>
      <c r="E307" s="1">
        <f t="shared" si="14"/>
        <v>-641.05053975628664</v>
      </c>
      <c r="F307" s="1">
        <f>SUM($E$10:E307)</f>
        <v>-86210.755992635022</v>
      </c>
    </row>
    <row r="308" spans="3:6" x14ac:dyDescent="0.25">
      <c r="C308">
        <f t="shared" si="15"/>
        <v>299</v>
      </c>
      <c r="D308" s="1">
        <f t="shared" si="16"/>
        <v>-102.40335329237138</v>
      </c>
      <c r="E308" s="1">
        <f t="shared" si="14"/>
        <v>-643.41924481254819</v>
      </c>
      <c r="F308" s="1">
        <f>SUM($E$10:E308)</f>
        <v>-86854.175237447576</v>
      </c>
    </row>
    <row r="309" spans="3:6" x14ac:dyDescent="0.25">
      <c r="C309">
        <f t="shared" si="15"/>
        <v>300</v>
      </c>
      <c r="D309" s="1">
        <f t="shared" si="16"/>
        <v>-102.78034441080216</v>
      </c>
      <c r="E309" s="1">
        <f t="shared" si="14"/>
        <v>-645.78794986880962</v>
      </c>
      <c r="F309" s="1">
        <f>SUM($E$10:E309)</f>
        <v>-87499.963187316389</v>
      </c>
    </row>
    <row r="310" spans="3:6" x14ac:dyDescent="0.25">
      <c r="C310">
        <f t="shared" si="15"/>
        <v>301</v>
      </c>
      <c r="D310" s="1">
        <f t="shared" si="16"/>
        <v>-103.15733552923294</v>
      </c>
      <c r="E310" s="1">
        <f t="shared" si="14"/>
        <v>-648.15665492507105</v>
      </c>
      <c r="F310" s="1">
        <f>SUM($E$10:E310)</f>
        <v>-88148.11984224146</v>
      </c>
    </row>
    <row r="311" spans="3:6" x14ac:dyDescent="0.25">
      <c r="C311">
        <f t="shared" si="15"/>
        <v>302</v>
      </c>
      <c r="D311" s="1">
        <f t="shared" si="16"/>
        <v>-103.53432664766372</v>
      </c>
      <c r="E311" s="1">
        <f t="shared" si="14"/>
        <v>-650.5253599813326</v>
      </c>
      <c r="F311" s="1">
        <f>SUM($E$10:E311)</f>
        <v>-88798.64520222279</v>
      </c>
    </row>
    <row r="312" spans="3:6" x14ac:dyDescent="0.25">
      <c r="C312">
        <f t="shared" si="15"/>
        <v>303</v>
      </c>
      <c r="D312" s="1">
        <f t="shared" si="16"/>
        <v>-103.9113177660945</v>
      </c>
      <c r="E312" s="1">
        <f t="shared" si="14"/>
        <v>-652.89406503759403</v>
      </c>
      <c r="F312" s="1">
        <f>SUM($E$10:E312)</f>
        <v>-89451.539267260378</v>
      </c>
    </row>
    <row r="313" spans="3:6" x14ac:dyDescent="0.25">
      <c r="C313">
        <f t="shared" si="15"/>
        <v>304</v>
      </c>
      <c r="D313" s="1">
        <f t="shared" si="16"/>
        <v>-104.28830888452528</v>
      </c>
      <c r="E313" s="1">
        <f t="shared" si="14"/>
        <v>-655.26277009385558</v>
      </c>
      <c r="F313" s="1">
        <f>SUM($E$10:E313)</f>
        <v>-90106.802037354239</v>
      </c>
    </row>
    <row r="314" spans="3:6" x14ac:dyDescent="0.25">
      <c r="C314">
        <f t="shared" si="15"/>
        <v>305</v>
      </c>
      <c r="D314" s="1">
        <f t="shared" si="16"/>
        <v>-104.66530000295606</v>
      </c>
      <c r="E314" s="1">
        <f t="shared" si="14"/>
        <v>-657.63147515011701</v>
      </c>
      <c r="F314" s="1">
        <f>SUM($E$10:E314)</f>
        <v>-90764.433512504358</v>
      </c>
    </row>
    <row r="315" spans="3:6" x14ac:dyDescent="0.25">
      <c r="C315">
        <f t="shared" si="15"/>
        <v>306</v>
      </c>
      <c r="D315" s="1">
        <f t="shared" si="16"/>
        <v>-105.04229112138684</v>
      </c>
      <c r="E315" s="1">
        <f t="shared" si="14"/>
        <v>-660.00018020637845</v>
      </c>
      <c r="F315" s="1">
        <f>SUM($E$10:E315)</f>
        <v>-91424.433692710736</v>
      </c>
    </row>
    <row r="316" spans="3:6" x14ac:dyDescent="0.25">
      <c r="C316">
        <f t="shared" si="15"/>
        <v>307</v>
      </c>
      <c r="D316" s="1">
        <f t="shared" si="16"/>
        <v>-105.41928223981762</v>
      </c>
      <c r="E316" s="1">
        <f t="shared" si="14"/>
        <v>-662.36888526263999</v>
      </c>
      <c r="F316" s="1">
        <f>SUM($E$10:E316)</f>
        <v>-92086.802577973373</v>
      </c>
    </row>
    <row r="317" spans="3:6" x14ac:dyDescent="0.25">
      <c r="C317">
        <f t="shared" si="15"/>
        <v>308</v>
      </c>
      <c r="D317" s="1">
        <f t="shared" si="16"/>
        <v>-105.7962733582484</v>
      </c>
      <c r="E317" s="1">
        <f t="shared" si="14"/>
        <v>-664.73759031890143</v>
      </c>
      <c r="F317" s="1">
        <f>SUM($E$10:E317)</f>
        <v>-92751.540168292267</v>
      </c>
    </row>
    <row r="318" spans="3:6" x14ac:dyDescent="0.25">
      <c r="C318">
        <f t="shared" si="15"/>
        <v>309</v>
      </c>
      <c r="D318" s="1">
        <f t="shared" si="16"/>
        <v>-106.17326447667918</v>
      </c>
      <c r="E318" s="1">
        <f t="shared" si="14"/>
        <v>-667.10629537516297</v>
      </c>
      <c r="F318" s="1">
        <f>SUM($E$10:E318)</f>
        <v>-93418.646463667435</v>
      </c>
    </row>
    <row r="319" spans="3:6" x14ac:dyDescent="0.25">
      <c r="C319">
        <f t="shared" si="15"/>
        <v>310</v>
      </c>
      <c r="D319" s="1">
        <f t="shared" si="16"/>
        <v>-106.55025559510996</v>
      </c>
      <c r="E319" s="1">
        <f t="shared" si="14"/>
        <v>-669.47500043142441</v>
      </c>
      <c r="F319" s="1">
        <f>SUM($E$10:E319)</f>
        <v>-94088.121464098862</v>
      </c>
    </row>
    <row r="320" spans="3:6" x14ac:dyDescent="0.25">
      <c r="C320">
        <f t="shared" si="15"/>
        <v>311</v>
      </c>
      <c r="D320" s="1">
        <f t="shared" si="16"/>
        <v>-106.92724671354074</v>
      </c>
      <c r="E320" s="1">
        <f t="shared" si="14"/>
        <v>-671.84370548768584</v>
      </c>
      <c r="F320" s="1">
        <f>SUM($E$10:E320)</f>
        <v>-94759.965169586547</v>
      </c>
    </row>
    <row r="321" spans="3:6" x14ac:dyDescent="0.25">
      <c r="C321">
        <f t="shared" si="15"/>
        <v>312</v>
      </c>
      <c r="D321" s="1">
        <f t="shared" si="16"/>
        <v>-107.30423783197152</v>
      </c>
      <c r="E321" s="1">
        <f t="shared" si="14"/>
        <v>-674.21241054394739</v>
      </c>
      <c r="F321" s="1">
        <f>SUM($E$10:E321)</f>
        <v>-95434.17758013049</v>
      </c>
    </row>
    <row r="322" spans="3:6" x14ac:dyDescent="0.25">
      <c r="C322">
        <f t="shared" si="15"/>
        <v>313</v>
      </c>
      <c r="D322" s="1">
        <f t="shared" si="16"/>
        <v>-107.6812289504023</v>
      </c>
      <c r="E322" s="1">
        <f t="shared" si="14"/>
        <v>-676.58111560020882</v>
      </c>
      <c r="F322" s="1">
        <f>SUM($E$10:E322)</f>
        <v>-96110.758695730692</v>
      </c>
    </row>
    <row r="323" spans="3:6" x14ac:dyDescent="0.25">
      <c r="C323">
        <f t="shared" si="15"/>
        <v>314</v>
      </c>
      <c r="D323" s="1">
        <f t="shared" si="16"/>
        <v>-108.05822006883308</v>
      </c>
      <c r="E323" s="1">
        <f t="shared" si="14"/>
        <v>-678.94982065647025</v>
      </c>
      <c r="F323" s="1">
        <f>SUM($E$10:E323)</f>
        <v>-96789.708516387167</v>
      </c>
    </row>
    <row r="324" spans="3:6" x14ac:dyDescent="0.25">
      <c r="C324">
        <f t="shared" si="15"/>
        <v>315</v>
      </c>
      <c r="D324" s="1">
        <f t="shared" si="16"/>
        <v>-108.43521118726386</v>
      </c>
      <c r="E324" s="1">
        <f t="shared" si="14"/>
        <v>-681.3185257127318</v>
      </c>
      <c r="F324" s="1">
        <f>SUM($E$10:E324)</f>
        <v>-97471.0270420999</v>
      </c>
    </row>
    <row r="325" spans="3:6" x14ac:dyDescent="0.25">
      <c r="C325">
        <f t="shared" si="15"/>
        <v>316</v>
      </c>
      <c r="D325" s="1">
        <f t="shared" si="16"/>
        <v>-108.81220230569464</v>
      </c>
      <c r="E325" s="1">
        <f t="shared" si="14"/>
        <v>-683.68723076899323</v>
      </c>
      <c r="F325" s="1">
        <f>SUM($E$10:E325)</f>
        <v>-98154.714272868892</v>
      </c>
    </row>
    <row r="326" spans="3:6" x14ac:dyDescent="0.25">
      <c r="C326">
        <f t="shared" si="15"/>
        <v>317</v>
      </c>
      <c r="D326" s="1">
        <f t="shared" si="16"/>
        <v>-109.18919342412542</v>
      </c>
      <c r="E326" s="1">
        <f t="shared" si="14"/>
        <v>-686.05593582525478</v>
      </c>
      <c r="F326" s="1">
        <f>SUM($E$10:E326)</f>
        <v>-98840.770208694143</v>
      </c>
    </row>
    <row r="327" spans="3:6" x14ac:dyDescent="0.25">
      <c r="C327">
        <f t="shared" si="15"/>
        <v>318</v>
      </c>
      <c r="D327" s="1">
        <f t="shared" si="16"/>
        <v>-109.5661845425562</v>
      </c>
      <c r="E327" s="1">
        <f t="shared" si="14"/>
        <v>-688.42464088151621</v>
      </c>
      <c r="F327" s="1">
        <f>SUM($E$10:E327)</f>
        <v>-99529.194849575666</v>
      </c>
    </row>
    <row r="328" spans="3:6" x14ac:dyDescent="0.25">
      <c r="C328">
        <f t="shared" si="15"/>
        <v>319</v>
      </c>
      <c r="D328" s="1">
        <f t="shared" si="16"/>
        <v>-109.94317566098698</v>
      </c>
      <c r="E328" s="1">
        <f t="shared" si="14"/>
        <v>-690.79334593777764</v>
      </c>
      <c r="F328" s="1">
        <f>SUM($E$10:E328)</f>
        <v>-100219.98819551345</v>
      </c>
    </row>
    <row r="329" spans="3:6" x14ac:dyDescent="0.25">
      <c r="C329">
        <f t="shared" si="15"/>
        <v>320</v>
      </c>
      <c r="D329" s="1">
        <f t="shared" si="16"/>
        <v>-110.32016677941776</v>
      </c>
      <c r="E329" s="1">
        <f t="shared" si="14"/>
        <v>-693.16205099403919</v>
      </c>
      <c r="F329" s="1">
        <f>SUM($E$10:E329)</f>
        <v>-100913.15024650749</v>
      </c>
    </row>
    <row r="330" spans="3:6" x14ac:dyDescent="0.25">
      <c r="C330">
        <f t="shared" si="15"/>
        <v>321</v>
      </c>
      <c r="D330" s="1">
        <f t="shared" si="16"/>
        <v>-110.69715789784854</v>
      </c>
      <c r="E330" s="1">
        <f t="shared" si="14"/>
        <v>-695.53075605030062</v>
      </c>
      <c r="F330" s="1">
        <f>SUM($E$10:E330)</f>
        <v>-101608.68100255779</v>
      </c>
    </row>
    <row r="331" spans="3:6" x14ac:dyDescent="0.25">
      <c r="C331">
        <f t="shared" si="15"/>
        <v>322</v>
      </c>
      <c r="D331" s="1">
        <f t="shared" si="16"/>
        <v>-111.07414901627932</v>
      </c>
      <c r="E331" s="1">
        <f t="shared" ref="E331:E394" si="17">2*D331*PI()</f>
        <v>-697.89946110656217</v>
      </c>
      <c r="F331" s="1">
        <f>SUM($E$10:E331)</f>
        <v>-102306.58046366434</v>
      </c>
    </row>
    <row r="332" spans="3:6" x14ac:dyDescent="0.25">
      <c r="C332">
        <f t="shared" si="15"/>
        <v>323</v>
      </c>
      <c r="D332" s="1">
        <f t="shared" si="16"/>
        <v>-111.4511401347101</v>
      </c>
      <c r="E332" s="1">
        <f t="shared" si="17"/>
        <v>-700.2681661628236</v>
      </c>
      <c r="F332" s="1">
        <f>SUM($E$10:E332)</f>
        <v>-103006.84862982717</v>
      </c>
    </row>
    <row r="333" spans="3:6" x14ac:dyDescent="0.25">
      <c r="C333">
        <f t="shared" si="15"/>
        <v>324</v>
      </c>
      <c r="D333" s="1">
        <f t="shared" si="16"/>
        <v>-111.82813125314088</v>
      </c>
      <c r="E333" s="1">
        <f t="shared" si="17"/>
        <v>-702.63687121908504</v>
      </c>
      <c r="F333" s="1">
        <f>SUM($E$10:E333)</f>
        <v>-103709.48550104626</v>
      </c>
    </row>
    <row r="334" spans="3:6" x14ac:dyDescent="0.25">
      <c r="C334">
        <f t="shared" si="15"/>
        <v>325</v>
      </c>
      <c r="D334" s="1">
        <f t="shared" si="16"/>
        <v>-112.20512237157166</v>
      </c>
      <c r="E334" s="1">
        <f t="shared" si="17"/>
        <v>-705.00557627534658</v>
      </c>
      <c r="F334" s="1">
        <f>SUM($E$10:E334)</f>
        <v>-104414.49107732161</v>
      </c>
    </row>
    <row r="335" spans="3:6" x14ac:dyDescent="0.25">
      <c r="C335">
        <f t="shared" si="15"/>
        <v>326</v>
      </c>
      <c r="D335" s="1">
        <f t="shared" si="16"/>
        <v>-112.58211349000244</v>
      </c>
      <c r="E335" s="1">
        <f t="shared" si="17"/>
        <v>-707.37428133160802</v>
      </c>
      <c r="F335" s="1">
        <f>SUM($E$10:E335)</f>
        <v>-105121.86535865322</v>
      </c>
    </row>
    <row r="336" spans="3:6" x14ac:dyDescent="0.25">
      <c r="C336">
        <f t="shared" si="15"/>
        <v>327</v>
      </c>
      <c r="D336" s="1">
        <f t="shared" si="16"/>
        <v>-112.95910460843322</v>
      </c>
      <c r="E336" s="1">
        <f t="shared" si="17"/>
        <v>-709.74298638786956</v>
      </c>
      <c r="F336" s="1">
        <f>SUM($E$10:E336)</f>
        <v>-105831.60834504108</v>
      </c>
    </row>
    <row r="337" spans="3:6" x14ac:dyDescent="0.25">
      <c r="C337">
        <f t="shared" si="15"/>
        <v>328</v>
      </c>
      <c r="D337" s="1">
        <f t="shared" si="16"/>
        <v>-113.336095726864</v>
      </c>
      <c r="E337" s="1">
        <f t="shared" si="17"/>
        <v>-712.111691444131</v>
      </c>
      <c r="F337" s="1">
        <f>SUM($E$10:E337)</f>
        <v>-106543.72003648522</v>
      </c>
    </row>
    <row r="338" spans="3:6" x14ac:dyDescent="0.25">
      <c r="C338">
        <f t="shared" si="15"/>
        <v>329</v>
      </c>
      <c r="D338" s="1">
        <f t="shared" si="16"/>
        <v>-113.71308684529478</v>
      </c>
      <c r="E338" s="1">
        <f t="shared" si="17"/>
        <v>-714.48039650039243</v>
      </c>
      <c r="F338" s="1">
        <f>SUM($E$10:E338)</f>
        <v>-107258.20043298561</v>
      </c>
    </row>
    <row r="339" spans="3:6" x14ac:dyDescent="0.25">
      <c r="C339">
        <f t="shared" si="15"/>
        <v>330</v>
      </c>
      <c r="D339" s="1">
        <f t="shared" si="16"/>
        <v>-114.09007796372556</v>
      </c>
      <c r="E339" s="1">
        <f t="shared" si="17"/>
        <v>-716.84910155665398</v>
      </c>
      <c r="F339" s="1">
        <f>SUM($E$10:E339)</f>
        <v>-107975.04953454227</v>
      </c>
    </row>
    <row r="340" spans="3:6" x14ac:dyDescent="0.25">
      <c r="C340">
        <f t="shared" si="15"/>
        <v>331</v>
      </c>
      <c r="D340" s="1">
        <f t="shared" si="16"/>
        <v>-114.46706908215634</v>
      </c>
      <c r="E340" s="1">
        <f t="shared" si="17"/>
        <v>-719.21780661291541</v>
      </c>
      <c r="F340" s="1">
        <f>SUM($E$10:E340)</f>
        <v>-108694.26734115518</v>
      </c>
    </row>
    <row r="341" spans="3:6" x14ac:dyDescent="0.25">
      <c r="C341">
        <f t="shared" si="15"/>
        <v>332</v>
      </c>
      <c r="D341" s="1">
        <f t="shared" si="16"/>
        <v>-114.84406020058712</v>
      </c>
      <c r="E341" s="1">
        <f t="shared" si="17"/>
        <v>-721.58651166917684</v>
      </c>
      <c r="F341" s="1">
        <f>SUM($E$10:E341)</f>
        <v>-109415.85385282435</v>
      </c>
    </row>
    <row r="342" spans="3:6" x14ac:dyDescent="0.25">
      <c r="C342">
        <f t="shared" si="15"/>
        <v>333</v>
      </c>
      <c r="D342" s="1">
        <f t="shared" si="16"/>
        <v>-115.2210513190179</v>
      </c>
      <c r="E342" s="1">
        <f t="shared" si="17"/>
        <v>-723.95521672543839</v>
      </c>
      <c r="F342" s="1">
        <f>SUM($E$10:E342)</f>
        <v>-110139.8090695498</v>
      </c>
    </row>
    <row r="343" spans="3:6" x14ac:dyDescent="0.25">
      <c r="C343">
        <f t="shared" si="15"/>
        <v>334</v>
      </c>
      <c r="D343" s="1">
        <f t="shared" si="16"/>
        <v>-115.59804243744868</v>
      </c>
      <c r="E343" s="1">
        <f t="shared" si="17"/>
        <v>-726.32392178169982</v>
      </c>
      <c r="F343" s="1">
        <f>SUM($E$10:E343)</f>
        <v>-110866.1329913315</v>
      </c>
    </row>
    <row r="344" spans="3:6" x14ac:dyDescent="0.25">
      <c r="C344">
        <f t="shared" si="15"/>
        <v>335</v>
      </c>
      <c r="D344" s="1">
        <f t="shared" si="16"/>
        <v>-115.97503355587946</v>
      </c>
      <c r="E344" s="1">
        <f t="shared" si="17"/>
        <v>-728.69262683796137</v>
      </c>
      <c r="F344" s="1">
        <f>SUM($E$10:E344)</f>
        <v>-111594.82561816946</v>
      </c>
    </row>
    <row r="345" spans="3:6" x14ac:dyDescent="0.25">
      <c r="C345">
        <f t="shared" si="15"/>
        <v>336</v>
      </c>
      <c r="D345" s="1">
        <f t="shared" si="16"/>
        <v>-116.35202467431024</v>
      </c>
      <c r="E345" s="1">
        <f t="shared" si="17"/>
        <v>-731.0613318942228</v>
      </c>
      <c r="F345" s="1">
        <f>SUM($E$10:E345)</f>
        <v>-112325.88695006368</v>
      </c>
    </row>
    <row r="346" spans="3:6" x14ac:dyDescent="0.25">
      <c r="C346">
        <f t="shared" si="15"/>
        <v>337</v>
      </c>
      <c r="D346" s="1">
        <f t="shared" si="16"/>
        <v>-116.72901579274102</v>
      </c>
      <c r="E346" s="1">
        <f t="shared" si="17"/>
        <v>-733.43003695048424</v>
      </c>
      <c r="F346" s="1">
        <f>SUM($E$10:E346)</f>
        <v>-113059.31698701416</v>
      </c>
    </row>
    <row r="347" spans="3:6" x14ac:dyDescent="0.25">
      <c r="C347">
        <f t="shared" si="15"/>
        <v>338</v>
      </c>
      <c r="D347" s="1">
        <f t="shared" si="16"/>
        <v>-117.1060069111718</v>
      </c>
      <c r="E347" s="1">
        <f t="shared" si="17"/>
        <v>-735.79874200674578</v>
      </c>
      <c r="F347" s="1">
        <f>SUM($E$10:E347)</f>
        <v>-113795.11572902091</v>
      </c>
    </row>
    <row r="348" spans="3:6" x14ac:dyDescent="0.25">
      <c r="C348">
        <f t="shared" si="15"/>
        <v>339</v>
      </c>
      <c r="D348" s="1">
        <f t="shared" si="16"/>
        <v>-117.48299802960258</v>
      </c>
      <c r="E348" s="1">
        <f t="shared" si="17"/>
        <v>-738.16744706300722</v>
      </c>
      <c r="F348" s="1">
        <f>SUM($E$10:E348)</f>
        <v>-114533.28317608392</v>
      </c>
    </row>
    <row r="349" spans="3:6" x14ac:dyDescent="0.25">
      <c r="C349">
        <f t="shared" si="15"/>
        <v>340</v>
      </c>
      <c r="D349" s="1">
        <f t="shared" si="16"/>
        <v>-117.85998914803336</v>
      </c>
      <c r="E349" s="1">
        <f t="shared" si="17"/>
        <v>-740.53615211926876</v>
      </c>
      <c r="F349" s="1">
        <f>SUM($E$10:E349)</f>
        <v>-115273.81932820319</v>
      </c>
    </row>
    <row r="350" spans="3:6" x14ac:dyDescent="0.25">
      <c r="C350">
        <f t="shared" ref="C350:C413" si="18">C349+1</f>
        <v>341</v>
      </c>
      <c r="D350" s="1">
        <f t="shared" ref="D350:D413" si="19">D349-(PI()*$D$4/100)</f>
        <v>-118.23698026646414</v>
      </c>
      <c r="E350" s="1">
        <f t="shared" si="17"/>
        <v>-742.9048571755302</v>
      </c>
      <c r="F350" s="1">
        <f>SUM($E$10:E350)</f>
        <v>-116016.72418537871</v>
      </c>
    </row>
    <row r="351" spans="3:6" x14ac:dyDescent="0.25">
      <c r="C351">
        <f t="shared" si="18"/>
        <v>342</v>
      </c>
      <c r="D351" s="1">
        <f t="shared" si="19"/>
        <v>-118.61397138489492</v>
      </c>
      <c r="E351" s="1">
        <f t="shared" si="17"/>
        <v>-745.27356223179163</v>
      </c>
      <c r="F351" s="1">
        <f>SUM($E$10:E351)</f>
        <v>-116761.9977476105</v>
      </c>
    </row>
    <row r="352" spans="3:6" x14ac:dyDescent="0.25">
      <c r="C352">
        <f t="shared" si="18"/>
        <v>343</v>
      </c>
      <c r="D352" s="1">
        <f t="shared" si="19"/>
        <v>-118.9909625033257</v>
      </c>
      <c r="E352" s="1">
        <f t="shared" si="17"/>
        <v>-747.64226728805318</v>
      </c>
      <c r="F352" s="1">
        <f>SUM($E$10:E352)</f>
        <v>-117509.64001489856</v>
      </c>
    </row>
    <row r="353" spans="3:6" x14ac:dyDescent="0.25">
      <c r="C353">
        <f t="shared" si="18"/>
        <v>344</v>
      </c>
      <c r="D353" s="1">
        <f t="shared" si="19"/>
        <v>-119.36795362175648</v>
      </c>
      <c r="E353" s="1">
        <f t="shared" si="17"/>
        <v>-750.01097234431461</v>
      </c>
      <c r="F353" s="1">
        <f>SUM($E$10:E353)</f>
        <v>-118259.65098724287</v>
      </c>
    </row>
    <row r="354" spans="3:6" x14ac:dyDescent="0.25">
      <c r="C354">
        <f t="shared" si="18"/>
        <v>345</v>
      </c>
      <c r="D354" s="1">
        <f t="shared" si="19"/>
        <v>-119.74494474018726</v>
      </c>
      <c r="E354" s="1">
        <f t="shared" si="17"/>
        <v>-752.37967740057604</v>
      </c>
      <c r="F354" s="1">
        <f>SUM($E$10:E354)</f>
        <v>-119012.03066464345</v>
      </c>
    </row>
    <row r="355" spans="3:6" x14ac:dyDescent="0.25">
      <c r="C355">
        <f t="shared" si="18"/>
        <v>346</v>
      </c>
      <c r="D355" s="1">
        <f t="shared" si="19"/>
        <v>-120.12193585861804</v>
      </c>
      <c r="E355" s="1">
        <f t="shared" si="17"/>
        <v>-754.74838245683759</v>
      </c>
      <c r="F355" s="1">
        <f>SUM($E$10:E355)</f>
        <v>-119766.77904710028</v>
      </c>
    </row>
    <row r="356" spans="3:6" x14ac:dyDescent="0.25">
      <c r="C356">
        <f t="shared" si="18"/>
        <v>347</v>
      </c>
      <c r="D356" s="1">
        <f t="shared" si="19"/>
        <v>-120.49892697704882</v>
      </c>
      <c r="E356" s="1">
        <f t="shared" si="17"/>
        <v>-757.11708751309902</v>
      </c>
      <c r="F356" s="1">
        <f>SUM($E$10:E356)</f>
        <v>-120523.89613461337</v>
      </c>
    </row>
    <row r="357" spans="3:6" x14ac:dyDescent="0.25">
      <c r="C357">
        <f t="shared" si="18"/>
        <v>348</v>
      </c>
      <c r="D357" s="1">
        <f t="shared" si="19"/>
        <v>-120.87591809547961</v>
      </c>
      <c r="E357" s="1">
        <f t="shared" si="17"/>
        <v>-759.48579256936057</v>
      </c>
      <c r="F357" s="1">
        <f>SUM($E$10:E357)</f>
        <v>-121283.38192718274</v>
      </c>
    </row>
    <row r="358" spans="3:6" x14ac:dyDescent="0.25">
      <c r="C358">
        <f t="shared" si="18"/>
        <v>349</v>
      </c>
      <c r="D358" s="1">
        <f t="shared" si="19"/>
        <v>-121.25290921391039</v>
      </c>
      <c r="E358" s="1">
        <f t="shared" si="17"/>
        <v>-761.854497625622</v>
      </c>
      <c r="F358" s="1">
        <f>SUM($E$10:E358)</f>
        <v>-122045.23642480836</v>
      </c>
    </row>
    <row r="359" spans="3:6" x14ac:dyDescent="0.25">
      <c r="C359">
        <f t="shared" si="18"/>
        <v>350</v>
      </c>
      <c r="D359" s="1">
        <f t="shared" si="19"/>
        <v>-121.62990033234117</v>
      </c>
      <c r="E359" s="1">
        <f t="shared" si="17"/>
        <v>-764.22320268188344</v>
      </c>
      <c r="F359" s="1">
        <f>SUM($E$10:E359)</f>
        <v>-122809.45962749024</v>
      </c>
    </row>
    <row r="360" spans="3:6" x14ac:dyDescent="0.25">
      <c r="C360">
        <f t="shared" si="18"/>
        <v>351</v>
      </c>
      <c r="D360" s="1">
        <f t="shared" si="19"/>
        <v>-122.00689145077195</v>
      </c>
      <c r="E360" s="1">
        <f t="shared" si="17"/>
        <v>-766.59190773814498</v>
      </c>
      <c r="F360" s="1">
        <f>SUM($E$10:E360)</f>
        <v>-123576.05153522838</v>
      </c>
    </row>
    <row r="361" spans="3:6" x14ac:dyDescent="0.25">
      <c r="C361">
        <f t="shared" si="18"/>
        <v>352</v>
      </c>
      <c r="D361" s="1">
        <f t="shared" si="19"/>
        <v>-122.38388256920273</v>
      </c>
      <c r="E361" s="1">
        <f t="shared" si="17"/>
        <v>-768.96061279440642</v>
      </c>
      <c r="F361" s="1">
        <f>SUM($E$10:E361)</f>
        <v>-124345.0121480228</v>
      </c>
    </row>
    <row r="362" spans="3:6" x14ac:dyDescent="0.25">
      <c r="C362">
        <f t="shared" si="18"/>
        <v>353</v>
      </c>
      <c r="D362" s="1">
        <f t="shared" si="19"/>
        <v>-122.76087368763351</v>
      </c>
      <c r="E362" s="1">
        <f t="shared" si="17"/>
        <v>-771.32931785066796</v>
      </c>
      <c r="F362" s="1">
        <f>SUM($E$10:E362)</f>
        <v>-125116.34146587347</v>
      </c>
    </row>
    <row r="363" spans="3:6" x14ac:dyDescent="0.25">
      <c r="C363">
        <f t="shared" si="18"/>
        <v>354</v>
      </c>
      <c r="D363" s="1">
        <f t="shared" si="19"/>
        <v>-123.13786480606429</v>
      </c>
      <c r="E363" s="1">
        <f t="shared" si="17"/>
        <v>-773.6980229069294</v>
      </c>
      <c r="F363" s="1">
        <f>SUM($E$10:E363)</f>
        <v>-125890.0394887804</v>
      </c>
    </row>
    <row r="364" spans="3:6" x14ac:dyDescent="0.25">
      <c r="C364">
        <f t="shared" si="18"/>
        <v>355</v>
      </c>
      <c r="D364" s="1">
        <f t="shared" si="19"/>
        <v>-123.51485592449507</v>
      </c>
      <c r="E364" s="1">
        <f t="shared" si="17"/>
        <v>-776.06672796319083</v>
      </c>
      <c r="F364" s="1">
        <f>SUM($E$10:E364)</f>
        <v>-126666.10621674359</v>
      </c>
    </row>
    <row r="365" spans="3:6" x14ac:dyDescent="0.25">
      <c r="C365">
        <f t="shared" si="18"/>
        <v>356</v>
      </c>
      <c r="D365" s="1">
        <f t="shared" si="19"/>
        <v>-123.89184704292585</v>
      </c>
      <c r="E365" s="1">
        <f t="shared" si="17"/>
        <v>-778.43543301945238</v>
      </c>
      <c r="F365" s="1">
        <f>SUM($E$10:E365)</f>
        <v>-127444.54164976304</v>
      </c>
    </row>
    <row r="366" spans="3:6" x14ac:dyDescent="0.25">
      <c r="C366">
        <f t="shared" si="18"/>
        <v>357</v>
      </c>
      <c r="D366" s="1">
        <f t="shared" si="19"/>
        <v>-124.26883816135663</v>
      </c>
      <c r="E366" s="1">
        <f t="shared" si="17"/>
        <v>-780.80413807571381</v>
      </c>
      <c r="F366" s="1">
        <f>SUM($E$10:E366)</f>
        <v>-128225.34578783876</v>
      </c>
    </row>
    <row r="367" spans="3:6" x14ac:dyDescent="0.25">
      <c r="C367">
        <f t="shared" si="18"/>
        <v>358</v>
      </c>
      <c r="D367" s="1">
        <f t="shared" si="19"/>
        <v>-124.64582927978741</v>
      </c>
      <c r="E367" s="1">
        <f t="shared" si="17"/>
        <v>-783.17284313197536</v>
      </c>
      <c r="F367" s="1">
        <f>SUM($E$10:E367)</f>
        <v>-129008.51863097074</v>
      </c>
    </row>
    <row r="368" spans="3:6" x14ac:dyDescent="0.25">
      <c r="C368">
        <f t="shared" si="18"/>
        <v>359</v>
      </c>
      <c r="D368" s="1">
        <f t="shared" si="19"/>
        <v>-125.02282039821819</v>
      </c>
      <c r="E368" s="1">
        <f t="shared" si="17"/>
        <v>-785.54154818823679</v>
      </c>
      <c r="F368" s="1">
        <f>SUM($E$10:E368)</f>
        <v>-129794.06017915897</v>
      </c>
    </row>
    <row r="369" spans="3:6" x14ac:dyDescent="0.25">
      <c r="C369">
        <f t="shared" si="18"/>
        <v>360</v>
      </c>
      <c r="D369" s="1">
        <f t="shared" si="19"/>
        <v>-125.39981151664897</v>
      </c>
      <c r="E369" s="1">
        <f t="shared" si="17"/>
        <v>-787.91025324449822</v>
      </c>
      <c r="F369" s="1">
        <f>SUM($E$10:E369)</f>
        <v>-130581.97043240347</v>
      </c>
    </row>
    <row r="370" spans="3:6" x14ac:dyDescent="0.25">
      <c r="C370">
        <f t="shared" si="18"/>
        <v>361</v>
      </c>
      <c r="D370" s="1">
        <f t="shared" si="19"/>
        <v>-125.77680263507975</v>
      </c>
      <c r="E370" s="1">
        <f t="shared" si="17"/>
        <v>-790.27895830075977</v>
      </c>
      <c r="F370" s="1">
        <f>SUM($E$10:E370)</f>
        <v>-131372.24939070424</v>
      </c>
    </row>
    <row r="371" spans="3:6" x14ac:dyDescent="0.25">
      <c r="C371">
        <f t="shared" si="18"/>
        <v>362</v>
      </c>
      <c r="D371" s="1">
        <f t="shared" si="19"/>
        <v>-126.15379375351053</v>
      </c>
      <c r="E371" s="1">
        <f t="shared" si="17"/>
        <v>-792.6476633570212</v>
      </c>
      <c r="F371" s="1">
        <f>SUM($E$10:E371)</f>
        <v>-132164.89705406126</v>
      </c>
    </row>
    <row r="372" spans="3:6" x14ac:dyDescent="0.25">
      <c r="C372">
        <f t="shared" si="18"/>
        <v>363</v>
      </c>
      <c r="D372" s="1">
        <f t="shared" si="19"/>
        <v>-126.53078487194131</v>
      </c>
      <c r="E372" s="1">
        <f t="shared" si="17"/>
        <v>-795.01636841328263</v>
      </c>
      <c r="F372" s="1">
        <f>SUM($E$10:E372)</f>
        <v>-132959.91342247455</v>
      </c>
    </row>
    <row r="373" spans="3:6" x14ac:dyDescent="0.25">
      <c r="C373">
        <f t="shared" si="18"/>
        <v>364</v>
      </c>
      <c r="D373" s="1">
        <f t="shared" si="19"/>
        <v>-126.90777599037209</v>
      </c>
      <c r="E373" s="1">
        <f t="shared" si="17"/>
        <v>-797.38507346954418</v>
      </c>
      <c r="F373" s="1">
        <f>SUM($E$10:E373)</f>
        <v>-133757.29849594409</v>
      </c>
    </row>
    <row r="374" spans="3:6" x14ac:dyDescent="0.25">
      <c r="C374">
        <f t="shared" si="18"/>
        <v>365</v>
      </c>
      <c r="D374" s="1">
        <f t="shared" si="19"/>
        <v>-127.28476710880287</v>
      </c>
      <c r="E374" s="1">
        <f t="shared" si="17"/>
        <v>-799.75377852580561</v>
      </c>
      <c r="F374" s="1">
        <f>SUM($E$10:E374)</f>
        <v>-134557.0522744699</v>
      </c>
    </row>
    <row r="375" spans="3:6" x14ac:dyDescent="0.25">
      <c r="C375">
        <f t="shared" si="18"/>
        <v>366</v>
      </c>
      <c r="D375" s="1">
        <f t="shared" si="19"/>
        <v>-127.66175822723365</v>
      </c>
      <c r="E375" s="1">
        <f t="shared" si="17"/>
        <v>-802.12248358206716</v>
      </c>
      <c r="F375" s="1">
        <f>SUM($E$10:E375)</f>
        <v>-135359.17475805196</v>
      </c>
    </row>
    <row r="376" spans="3:6" x14ac:dyDescent="0.25">
      <c r="C376">
        <f t="shared" si="18"/>
        <v>367</v>
      </c>
      <c r="D376" s="1">
        <f t="shared" si="19"/>
        <v>-128.03874934566443</v>
      </c>
      <c r="E376" s="1">
        <f t="shared" si="17"/>
        <v>-804.49118863832859</v>
      </c>
      <c r="F376" s="1">
        <f>SUM($E$10:E376)</f>
        <v>-136163.66594669028</v>
      </c>
    </row>
    <row r="377" spans="3:6" x14ac:dyDescent="0.25">
      <c r="C377">
        <f t="shared" si="18"/>
        <v>368</v>
      </c>
      <c r="D377" s="1">
        <f t="shared" si="19"/>
        <v>-128.41574046409519</v>
      </c>
      <c r="E377" s="1">
        <f t="shared" si="17"/>
        <v>-806.85989369459003</v>
      </c>
      <c r="F377" s="1">
        <f>SUM($E$10:E377)</f>
        <v>-136970.52584038486</v>
      </c>
    </row>
    <row r="378" spans="3:6" x14ac:dyDescent="0.25">
      <c r="C378">
        <f t="shared" si="18"/>
        <v>369</v>
      </c>
      <c r="D378" s="1">
        <f t="shared" si="19"/>
        <v>-128.79273158252596</v>
      </c>
      <c r="E378" s="1">
        <f t="shared" si="17"/>
        <v>-809.22859875085135</v>
      </c>
      <c r="F378" s="1">
        <f>SUM($E$10:E378)</f>
        <v>-137779.75443913572</v>
      </c>
    </row>
    <row r="379" spans="3:6" x14ac:dyDescent="0.25">
      <c r="C379">
        <f t="shared" si="18"/>
        <v>370</v>
      </c>
      <c r="D379" s="1">
        <f t="shared" si="19"/>
        <v>-129.16972270095673</v>
      </c>
      <c r="E379" s="1">
        <f t="shared" si="17"/>
        <v>-811.59730380711278</v>
      </c>
      <c r="F379" s="1">
        <f>SUM($E$10:E379)</f>
        <v>-138591.35174294285</v>
      </c>
    </row>
    <row r="380" spans="3:6" x14ac:dyDescent="0.25">
      <c r="C380">
        <f t="shared" si="18"/>
        <v>371</v>
      </c>
      <c r="D380" s="1">
        <f t="shared" si="19"/>
        <v>-129.54671381938749</v>
      </c>
      <c r="E380" s="1">
        <f t="shared" si="17"/>
        <v>-813.9660088633741</v>
      </c>
      <c r="F380" s="1">
        <f>SUM($E$10:E380)</f>
        <v>-139405.31775180623</v>
      </c>
    </row>
    <row r="381" spans="3:6" x14ac:dyDescent="0.25">
      <c r="C381">
        <f t="shared" si="18"/>
        <v>372</v>
      </c>
      <c r="D381" s="1">
        <f t="shared" si="19"/>
        <v>-129.92370493781826</v>
      </c>
      <c r="E381" s="1">
        <f t="shared" si="17"/>
        <v>-816.33471391963553</v>
      </c>
      <c r="F381" s="1">
        <f>SUM($E$10:E381)</f>
        <v>-140221.65246572587</v>
      </c>
    </row>
    <row r="382" spans="3:6" x14ac:dyDescent="0.25">
      <c r="C382">
        <f t="shared" si="18"/>
        <v>373</v>
      </c>
      <c r="D382" s="1">
        <f t="shared" si="19"/>
        <v>-130.30069605624902</v>
      </c>
      <c r="E382" s="1">
        <f t="shared" si="17"/>
        <v>-818.70341897589697</v>
      </c>
      <c r="F382" s="1">
        <f>SUM($E$10:E382)</f>
        <v>-141040.35588470177</v>
      </c>
    </row>
    <row r="383" spans="3:6" x14ac:dyDescent="0.25">
      <c r="C383">
        <f t="shared" si="18"/>
        <v>374</v>
      </c>
      <c r="D383" s="1">
        <f t="shared" si="19"/>
        <v>-130.67768717467979</v>
      </c>
      <c r="E383" s="1">
        <f t="shared" si="17"/>
        <v>-821.07212403215829</v>
      </c>
      <c r="F383" s="1">
        <f>SUM($E$10:E383)</f>
        <v>-141861.42800873393</v>
      </c>
    </row>
    <row r="384" spans="3:6" x14ac:dyDescent="0.25">
      <c r="C384">
        <f t="shared" si="18"/>
        <v>375</v>
      </c>
      <c r="D384" s="1">
        <f t="shared" si="19"/>
        <v>-131.05467829311056</v>
      </c>
      <c r="E384" s="1">
        <f t="shared" si="17"/>
        <v>-823.44082908841972</v>
      </c>
      <c r="F384" s="1">
        <f>SUM($E$10:E384)</f>
        <v>-142684.86883782235</v>
      </c>
    </row>
    <row r="385" spans="3:6" x14ac:dyDescent="0.25">
      <c r="C385">
        <f t="shared" si="18"/>
        <v>376</v>
      </c>
      <c r="D385" s="1">
        <f t="shared" si="19"/>
        <v>-131.43166941154132</v>
      </c>
      <c r="E385" s="1">
        <f t="shared" si="17"/>
        <v>-825.80953414468104</v>
      </c>
      <c r="F385" s="1">
        <f>SUM($E$10:E385)</f>
        <v>-143510.67837196702</v>
      </c>
    </row>
    <row r="386" spans="3:6" x14ac:dyDescent="0.25">
      <c r="C386">
        <f t="shared" si="18"/>
        <v>377</v>
      </c>
      <c r="D386" s="1">
        <f t="shared" si="19"/>
        <v>-131.80866052997209</v>
      </c>
      <c r="E386" s="1">
        <f t="shared" si="17"/>
        <v>-828.17823920094247</v>
      </c>
      <c r="F386" s="1">
        <f>SUM($E$10:E386)</f>
        <v>-144338.85661116795</v>
      </c>
    </row>
    <row r="387" spans="3:6" x14ac:dyDescent="0.25">
      <c r="C387">
        <f t="shared" si="18"/>
        <v>378</v>
      </c>
      <c r="D387" s="1">
        <f t="shared" si="19"/>
        <v>-132.18565164840285</v>
      </c>
      <c r="E387" s="1">
        <f t="shared" si="17"/>
        <v>-830.5469442572039</v>
      </c>
      <c r="F387" s="1">
        <f>SUM($E$10:E387)</f>
        <v>-145169.40355542515</v>
      </c>
    </row>
    <row r="388" spans="3:6" x14ac:dyDescent="0.25">
      <c r="C388">
        <f t="shared" si="18"/>
        <v>379</v>
      </c>
      <c r="D388" s="1">
        <f t="shared" si="19"/>
        <v>-132.56264276683362</v>
      </c>
      <c r="E388" s="1">
        <f t="shared" si="17"/>
        <v>-832.91564931346522</v>
      </c>
      <c r="F388" s="1">
        <f>SUM($E$10:E388)</f>
        <v>-146002.31920473863</v>
      </c>
    </row>
    <row r="389" spans="3:6" x14ac:dyDescent="0.25">
      <c r="C389">
        <f t="shared" si="18"/>
        <v>380</v>
      </c>
      <c r="D389" s="1">
        <f t="shared" si="19"/>
        <v>-132.93963388526439</v>
      </c>
      <c r="E389" s="1">
        <f t="shared" si="17"/>
        <v>-835.28435436972666</v>
      </c>
      <c r="F389" s="1">
        <f>SUM($E$10:E389)</f>
        <v>-146837.60355910836</v>
      </c>
    </row>
    <row r="390" spans="3:6" x14ac:dyDescent="0.25">
      <c r="C390">
        <f t="shared" si="18"/>
        <v>381</v>
      </c>
      <c r="D390" s="1">
        <f t="shared" si="19"/>
        <v>-133.31662500369515</v>
      </c>
      <c r="E390" s="1">
        <f t="shared" si="17"/>
        <v>-837.65305942598798</v>
      </c>
      <c r="F390" s="1">
        <f>SUM($E$10:E390)</f>
        <v>-147675.25661853436</v>
      </c>
    </row>
    <row r="391" spans="3:6" x14ac:dyDescent="0.25">
      <c r="C391">
        <f t="shared" si="18"/>
        <v>382</v>
      </c>
      <c r="D391" s="1">
        <f t="shared" si="19"/>
        <v>-133.69361612212592</v>
      </c>
      <c r="E391" s="1">
        <f t="shared" si="17"/>
        <v>-840.02176448224941</v>
      </c>
      <c r="F391" s="1">
        <f>SUM($E$10:E391)</f>
        <v>-148515.27838301662</v>
      </c>
    </row>
    <row r="392" spans="3:6" x14ac:dyDescent="0.25">
      <c r="C392">
        <f t="shared" si="18"/>
        <v>383</v>
      </c>
      <c r="D392" s="1">
        <f t="shared" si="19"/>
        <v>-134.07060724055668</v>
      </c>
      <c r="E392" s="1">
        <f t="shared" si="17"/>
        <v>-842.39046953851084</v>
      </c>
      <c r="F392" s="1">
        <f>SUM($E$10:E392)</f>
        <v>-149357.66885255513</v>
      </c>
    </row>
    <row r="393" spans="3:6" x14ac:dyDescent="0.25">
      <c r="C393">
        <f t="shared" si="18"/>
        <v>384</v>
      </c>
      <c r="D393" s="1">
        <f t="shared" si="19"/>
        <v>-134.44759835898745</v>
      </c>
      <c r="E393" s="1">
        <f t="shared" si="17"/>
        <v>-844.75917459477216</v>
      </c>
      <c r="F393" s="1">
        <f>SUM($E$10:E393)</f>
        <v>-150202.4280271499</v>
      </c>
    </row>
    <row r="394" spans="3:6" x14ac:dyDescent="0.25">
      <c r="C394">
        <f t="shared" si="18"/>
        <v>385</v>
      </c>
      <c r="D394" s="1">
        <f t="shared" si="19"/>
        <v>-134.82458947741821</v>
      </c>
      <c r="E394" s="1">
        <f t="shared" si="17"/>
        <v>-847.1278796510336</v>
      </c>
      <c r="F394" s="1">
        <f>SUM($E$10:E394)</f>
        <v>-151049.55590680093</v>
      </c>
    </row>
    <row r="395" spans="3:6" x14ac:dyDescent="0.25">
      <c r="C395">
        <f t="shared" si="18"/>
        <v>386</v>
      </c>
      <c r="D395" s="1">
        <f t="shared" si="19"/>
        <v>-135.20158059584898</v>
      </c>
      <c r="E395" s="1">
        <f t="shared" ref="E395:E458" si="20">2*D395*PI()</f>
        <v>-849.49658470729491</v>
      </c>
      <c r="F395" s="1">
        <f>SUM($E$10:E395)</f>
        <v>-151899.05249150822</v>
      </c>
    </row>
    <row r="396" spans="3:6" x14ac:dyDescent="0.25">
      <c r="C396">
        <f t="shared" si="18"/>
        <v>387</v>
      </c>
      <c r="D396" s="1">
        <f t="shared" si="19"/>
        <v>-135.57857171427975</v>
      </c>
      <c r="E396" s="1">
        <f t="shared" si="20"/>
        <v>-851.86528976355635</v>
      </c>
      <c r="F396" s="1">
        <f>SUM($E$10:E396)</f>
        <v>-152750.91778127177</v>
      </c>
    </row>
    <row r="397" spans="3:6" x14ac:dyDescent="0.25">
      <c r="C397">
        <f t="shared" si="18"/>
        <v>388</v>
      </c>
      <c r="D397" s="1">
        <f t="shared" si="19"/>
        <v>-135.95556283271051</v>
      </c>
      <c r="E397" s="1">
        <f t="shared" si="20"/>
        <v>-854.23399481981778</v>
      </c>
      <c r="F397" s="1">
        <f>SUM($E$10:E397)</f>
        <v>-153605.15177609157</v>
      </c>
    </row>
    <row r="398" spans="3:6" x14ac:dyDescent="0.25">
      <c r="C398">
        <f t="shared" si="18"/>
        <v>389</v>
      </c>
      <c r="D398" s="1">
        <f t="shared" si="19"/>
        <v>-136.33255395114128</v>
      </c>
      <c r="E398" s="1">
        <f t="shared" si="20"/>
        <v>-856.6026998760791</v>
      </c>
      <c r="F398" s="1">
        <f>SUM($E$10:E398)</f>
        <v>-154461.75447596767</v>
      </c>
    </row>
    <row r="399" spans="3:6" x14ac:dyDescent="0.25">
      <c r="C399">
        <f t="shared" si="18"/>
        <v>390</v>
      </c>
      <c r="D399" s="1">
        <f t="shared" si="19"/>
        <v>-136.70954506957204</v>
      </c>
      <c r="E399" s="1">
        <f t="shared" si="20"/>
        <v>-858.97140493234053</v>
      </c>
      <c r="F399" s="1">
        <f>SUM($E$10:E399)</f>
        <v>-155320.72588090002</v>
      </c>
    </row>
    <row r="400" spans="3:6" x14ac:dyDescent="0.25">
      <c r="C400">
        <f t="shared" si="18"/>
        <v>391</v>
      </c>
      <c r="D400" s="1">
        <f t="shared" si="19"/>
        <v>-137.08653618800281</v>
      </c>
      <c r="E400" s="1">
        <f t="shared" si="20"/>
        <v>-861.34010998860185</v>
      </c>
      <c r="F400" s="1">
        <f>SUM($E$10:E400)</f>
        <v>-156182.06599088863</v>
      </c>
    </row>
    <row r="401" spans="3:6" x14ac:dyDescent="0.25">
      <c r="C401">
        <f t="shared" si="18"/>
        <v>392</v>
      </c>
      <c r="D401" s="1">
        <f t="shared" si="19"/>
        <v>-137.46352730643358</v>
      </c>
      <c r="E401" s="1">
        <f t="shared" si="20"/>
        <v>-863.70881504486329</v>
      </c>
      <c r="F401" s="1">
        <f>SUM($E$10:E401)</f>
        <v>-157045.7748059335</v>
      </c>
    </row>
    <row r="402" spans="3:6" x14ac:dyDescent="0.25">
      <c r="C402">
        <f t="shared" si="18"/>
        <v>393</v>
      </c>
      <c r="D402" s="1">
        <f t="shared" si="19"/>
        <v>-137.84051842486434</v>
      </c>
      <c r="E402" s="1">
        <f t="shared" si="20"/>
        <v>-866.07752010112472</v>
      </c>
      <c r="F402" s="1">
        <f>SUM($E$10:E402)</f>
        <v>-157911.85232603463</v>
      </c>
    </row>
    <row r="403" spans="3:6" x14ac:dyDescent="0.25">
      <c r="C403">
        <f t="shared" si="18"/>
        <v>394</v>
      </c>
      <c r="D403" s="1">
        <f t="shared" si="19"/>
        <v>-138.21750954329511</v>
      </c>
      <c r="E403" s="1">
        <f t="shared" si="20"/>
        <v>-868.44622515738604</v>
      </c>
      <c r="F403" s="1">
        <f>SUM($E$10:E403)</f>
        <v>-158780.29855119201</v>
      </c>
    </row>
    <row r="404" spans="3:6" x14ac:dyDescent="0.25">
      <c r="C404">
        <f t="shared" si="18"/>
        <v>395</v>
      </c>
      <c r="D404" s="1">
        <f t="shared" si="19"/>
        <v>-138.59450066172587</v>
      </c>
      <c r="E404" s="1">
        <f t="shared" si="20"/>
        <v>-870.81493021364747</v>
      </c>
      <c r="F404" s="1">
        <f>SUM($E$10:E404)</f>
        <v>-159651.11348140566</v>
      </c>
    </row>
    <row r="405" spans="3:6" x14ac:dyDescent="0.25">
      <c r="C405">
        <f t="shared" si="18"/>
        <v>396</v>
      </c>
      <c r="D405" s="1">
        <f t="shared" si="19"/>
        <v>-138.97149178015664</v>
      </c>
      <c r="E405" s="1">
        <f t="shared" si="20"/>
        <v>-873.18363526990879</v>
      </c>
      <c r="F405" s="1">
        <f>SUM($E$10:E405)</f>
        <v>-160524.29711667556</v>
      </c>
    </row>
    <row r="406" spans="3:6" x14ac:dyDescent="0.25">
      <c r="C406">
        <f t="shared" si="18"/>
        <v>397</v>
      </c>
      <c r="D406" s="1">
        <f t="shared" si="19"/>
        <v>-139.34848289858741</v>
      </c>
      <c r="E406" s="1">
        <f t="shared" si="20"/>
        <v>-875.55234032617022</v>
      </c>
      <c r="F406" s="1">
        <f>SUM($E$10:E406)</f>
        <v>-161399.84945700172</v>
      </c>
    </row>
    <row r="407" spans="3:6" x14ac:dyDescent="0.25">
      <c r="C407">
        <f t="shared" si="18"/>
        <v>398</v>
      </c>
      <c r="D407" s="1">
        <f t="shared" si="19"/>
        <v>-139.72547401701817</v>
      </c>
      <c r="E407" s="1">
        <f t="shared" si="20"/>
        <v>-877.92104538243166</v>
      </c>
      <c r="F407" s="1">
        <f>SUM($E$10:E407)</f>
        <v>-162277.77050238414</v>
      </c>
    </row>
    <row r="408" spans="3:6" x14ac:dyDescent="0.25">
      <c r="C408">
        <f t="shared" si="18"/>
        <v>399</v>
      </c>
      <c r="D408" s="1">
        <f t="shared" si="19"/>
        <v>-140.10246513544894</v>
      </c>
      <c r="E408" s="1">
        <f t="shared" si="20"/>
        <v>-880.28975043869298</v>
      </c>
      <c r="F408" s="1">
        <f>SUM($E$10:E408)</f>
        <v>-163158.06025282285</v>
      </c>
    </row>
    <row r="409" spans="3:6" x14ac:dyDescent="0.25">
      <c r="C409">
        <f t="shared" si="18"/>
        <v>400</v>
      </c>
      <c r="D409" s="1">
        <f t="shared" si="19"/>
        <v>-140.4794562538797</v>
      </c>
      <c r="E409" s="1">
        <f t="shared" si="20"/>
        <v>-882.65845549495441</v>
      </c>
      <c r="F409" s="1">
        <f>SUM($E$10:E409)</f>
        <v>-164040.71870831781</v>
      </c>
    </row>
    <row r="410" spans="3:6" x14ac:dyDescent="0.25">
      <c r="C410">
        <f t="shared" si="18"/>
        <v>401</v>
      </c>
      <c r="D410" s="1">
        <f t="shared" si="19"/>
        <v>-140.85644737231047</v>
      </c>
      <c r="E410" s="1">
        <f t="shared" si="20"/>
        <v>-885.02716055121573</v>
      </c>
      <c r="F410" s="1">
        <f>SUM($E$10:E410)</f>
        <v>-164925.74586886904</v>
      </c>
    </row>
    <row r="411" spans="3:6" x14ac:dyDescent="0.25">
      <c r="C411">
        <f t="shared" si="18"/>
        <v>402</v>
      </c>
      <c r="D411" s="1">
        <f t="shared" si="19"/>
        <v>-141.23343849074124</v>
      </c>
      <c r="E411" s="1">
        <f t="shared" si="20"/>
        <v>-887.39586560747716</v>
      </c>
      <c r="F411" s="1">
        <f>SUM($E$10:E411)</f>
        <v>-165813.14173447652</v>
      </c>
    </row>
    <row r="412" spans="3:6" x14ac:dyDescent="0.25">
      <c r="C412">
        <f t="shared" si="18"/>
        <v>403</v>
      </c>
      <c r="D412" s="1">
        <f t="shared" si="19"/>
        <v>-141.610429609172</v>
      </c>
      <c r="E412" s="1">
        <f t="shared" si="20"/>
        <v>-889.7645706637386</v>
      </c>
      <c r="F412" s="1">
        <f>SUM($E$10:E412)</f>
        <v>-166702.90630514026</v>
      </c>
    </row>
    <row r="413" spans="3:6" x14ac:dyDescent="0.25">
      <c r="C413">
        <f t="shared" si="18"/>
        <v>404</v>
      </c>
      <c r="D413" s="1">
        <f t="shared" si="19"/>
        <v>-141.98742072760277</v>
      </c>
      <c r="E413" s="1">
        <f t="shared" si="20"/>
        <v>-892.13327571999992</v>
      </c>
      <c r="F413" s="1">
        <f>SUM($E$10:E413)</f>
        <v>-167595.03958086026</v>
      </c>
    </row>
    <row r="414" spans="3:6" x14ac:dyDescent="0.25">
      <c r="C414">
        <f t="shared" ref="C414:C477" si="21">C413+1</f>
        <v>405</v>
      </c>
      <c r="D414" s="1">
        <f t="shared" ref="D414:D477" si="22">D413-(PI()*$D$4/100)</f>
        <v>-142.36441184603353</v>
      </c>
      <c r="E414" s="1">
        <f t="shared" si="20"/>
        <v>-894.50198077626135</v>
      </c>
      <c r="F414" s="1">
        <f>SUM($E$10:E414)</f>
        <v>-168489.54156163652</v>
      </c>
    </row>
    <row r="415" spans="3:6" x14ac:dyDescent="0.25">
      <c r="C415">
        <f t="shared" si="21"/>
        <v>406</v>
      </c>
      <c r="D415" s="1">
        <f t="shared" si="22"/>
        <v>-142.7414029644643</v>
      </c>
      <c r="E415" s="1">
        <f t="shared" si="20"/>
        <v>-896.87068583252267</v>
      </c>
      <c r="F415" s="1">
        <f>SUM($E$10:E415)</f>
        <v>-169386.41224746904</v>
      </c>
    </row>
    <row r="416" spans="3:6" x14ac:dyDescent="0.25">
      <c r="C416">
        <f t="shared" si="21"/>
        <v>407</v>
      </c>
      <c r="D416" s="1">
        <f t="shared" si="22"/>
        <v>-143.11839408289507</v>
      </c>
      <c r="E416" s="1">
        <f t="shared" si="20"/>
        <v>-899.2393908887841</v>
      </c>
      <c r="F416" s="1">
        <f>SUM($E$10:E416)</f>
        <v>-170285.65163835781</v>
      </c>
    </row>
    <row r="417" spans="3:6" x14ac:dyDescent="0.25">
      <c r="C417">
        <f t="shared" si="21"/>
        <v>408</v>
      </c>
      <c r="D417" s="1">
        <f t="shared" si="22"/>
        <v>-143.49538520132583</v>
      </c>
      <c r="E417" s="1">
        <f t="shared" si="20"/>
        <v>-901.60809594504553</v>
      </c>
      <c r="F417" s="1">
        <f>SUM($E$10:E417)</f>
        <v>-171187.25973430285</v>
      </c>
    </row>
    <row r="418" spans="3:6" x14ac:dyDescent="0.25">
      <c r="C418">
        <f t="shared" si="21"/>
        <v>409</v>
      </c>
      <c r="D418" s="1">
        <f t="shared" si="22"/>
        <v>-143.8723763197566</v>
      </c>
      <c r="E418" s="1">
        <f t="shared" si="20"/>
        <v>-903.97680100130685</v>
      </c>
      <c r="F418" s="1">
        <f>SUM($E$10:E418)</f>
        <v>-172091.23653530417</v>
      </c>
    </row>
    <row r="419" spans="3:6" x14ac:dyDescent="0.25">
      <c r="C419">
        <f t="shared" si="21"/>
        <v>410</v>
      </c>
      <c r="D419" s="1">
        <f t="shared" si="22"/>
        <v>-144.24936743818736</v>
      </c>
      <c r="E419" s="1">
        <f t="shared" si="20"/>
        <v>-906.34550605756829</v>
      </c>
      <c r="F419" s="1">
        <f>SUM($E$10:E419)</f>
        <v>-172997.58204136175</v>
      </c>
    </row>
    <row r="420" spans="3:6" x14ac:dyDescent="0.25">
      <c r="C420">
        <f t="shared" si="21"/>
        <v>411</v>
      </c>
      <c r="D420" s="1">
        <f t="shared" si="22"/>
        <v>-144.62635855661813</v>
      </c>
      <c r="E420" s="1">
        <f t="shared" si="20"/>
        <v>-908.71421111382961</v>
      </c>
      <c r="F420" s="1">
        <f>SUM($E$10:E420)</f>
        <v>-173906.29625247559</v>
      </c>
    </row>
    <row r="421" spans="3:6" x14ac:dyDescent="0.25">
      <c r="C421">
        <f t="shared" si="21"/>
        <v>412</v>
      </c>
      <c r="D421" s="1">
        <f t="shared" si="22"/>
        <v>-145.0033496750489</v>
      </c>
      <c r="E421" s="1">
        <f t="shared" si="20"/>
        <v>-911.08291617009104</v>
      </c>
      <c r="F421" s="1">
        <f>SUM($E$10:E421)</f>
        <v>-174817.37916864568</v>
      </c>
    </row>
    <row r="422" spans="3:6" x14ac:dyDescent="0.25">
      <c r="C422">
        <f t="shared" si="21"/>
        <v>413</v>
      </c>
      <c r="D422" s="1">
        <f t="shared" si="22"/>
        <v>-145.38034079347966</v>
      </c>
      <c r="E422" s="1">
        <f t="shared" si="20"/>
        <v>-913.45162122635247</v>
      </c>
      <c r="F422" s="1">
        <f>SUM($E$10:E422)</f>
        <v>-175730.83078987204</v>
      </c>
    </row>
    <row r="423" spans="3:6" x14ac:dyDescent="0.25">
      <c r="C423">
        <f t="shared" si="21"/>
        <v>414</v>
      </c>
      <c r="D423" s="1">
        <f t="shared" si="22"/>
        <v>-145.75733191191043</v>
      </c>
      <c r="E423" s="1">
        <f t="shared" si="20"/>
        <v>-915.82032628261379</v>
      </c>
      <c r="F423" s="1">
        <f>SUM($E$10:E423)</f>
        <v>-176646.65111615465</v>
      </c>
    </row>
    <row r="424" spans="3:6" x14ac:dyDescent="0.25">
      <c r="C424">
        <f t="shared" si="21"/>
        <v>415</v>
      </c>
      <c r="D424" s="1">
        <f t="shared" si="22"/>
        <v>-146.13432303034119</v>
      </c>
      <c r="E424" s="1">
        <f t="shared" si="20"/>
        <v>-918.18903133887522</v>
      </c>
      <c r="F424" s="1">
        <f>SUM($E$10:E424)</f>
        <v>-177564.84014749352</v>
      </c>
    </row>
    <row r="425" spans="3:6" x14ac:dyDescent="0.25">
      <c r="C425">
        <f t="shared" si="21"/>
        <v>416</v>
      </c>
      <c r="D425" s="1">
        <f t="shared" si="22"/>
        <v>-146.51131414877196</v>
      </c>
      <c r="E425" s="1">
        <f t="shared" si="20"/>
        <v>-920.55773639513654</v>
      </c>
      <c r="F425" s="1">
        <f>SUM($E$10:E425)</f>
        <v>-178485.39788388865</v>
      </c>
    </row>
    <row r="426" spans="3:6" x14ac:dyDescent="0.25">
      <c r="C426">
        <f t="shared" si="21"/>
        <v>417</v>
      </c>
      <c r="D426" s="1">
        <f t="shared" si="22"/>
        <v>-146.88830526720272</v>
      </c>
      <c r="E426" s="1">
        <f t="shared" si="20"/>
        <v>-922.92644145139798</v>
      </c>
      <c r="F426" s="1">
        <f>SUM($E$10:E426)</f>
        <v>-179408.32432534004</v>
      </c>
    </row>
    <row r="427" spans="3:6" x14ac:dyDescent="0.25">
      <c r="C427">
        <f t="shared" si="21"/>
        <v>418</v>
      </c>
      <c r="D427" s="1">
        <f t="shared" si="22"/>
        <v>-147.26529638563349</v>
      </c>
      <c r="E427" s="1">
        <f t="shared" si="20"/>
        <v>-925.29514650765941</v>
      </c>
      <c r="F427" s="1">
        <f>SUM($E$10:E427)</f>
        <v>-180333.61947184769</v>
      </c>
    </row>
    <row r="428" spans="3:6" x14ac:dyDescent="0.25">
      <c r="C428">
        <f t="shared" si="21"/>
        <v>419</v>
      </c>
      <c r="D428" s="1">
        <f t="shared" si="22"/>
        <v>-147.64228750406426</v>
      </c>
      <c r="E428" s="1">
        <f t="shared" si="20"/>
        <v>-927.66385156392073</v>
      </c>
      <c r="F428" s="1">
        <f>SUM($E$10:E428)</f>
        <v>-181261.28332341163</v>
      </c>
    </row>
    <row r="429" spans="3:6" x14ac:dyDescent="0.25">
      <c r="C429">
        <f t="shared" si="21"/>
        <v>420</v>
      </c>
      <c r="D429" s="1">
        <f t="shared" si="22"/>
        <v>-148.01927862249502</v>
      </c>
      <c r="E429" s="1">
        <f t="shared" si="20"/>
        <v>-930.03255662018216</v>
      </c>
      <c r="F429" s="1">
        <f>SUM($E$10:E429)</f>
        <v>-182191.31588003182</v>
      </c>
    </row>
    <row r="430" spans="3:6" x14ac:dyDescent="0.25">
      <c r="C430">
        <f t="shared" si="21"/>
        <v>421</v>
      </c>
      <c r="D430" s="1">
        <f t="shared" si="22"/>
        <v>-148.39626974092579</v>
      </c>
      <c r="E430" s="1">
        <f t="shared" si="20"/>
        <v>-932.40126167644348</v>
      </c>
      <c r="F430" s="1">
        <f>SUM($E$10:E430)</f>
        <v>-183123.71714170827</v>
      </c>
    </row>
    <row r="431" spans="3:6" x14ac:dyDescent="0.25">
      <c r="C431">
        <f t="shared" si="21"/>
        <v>422</v>
      </c>
      <c r="D431" s="1">
        <f t="shared" si="22"/>
        <v>-148.77326085935655</v>
      </c>
      <c r="E431" s="1">
        <f t="shared" si="20"/>
        <v>-934.76996673270492</v>
      </c>
      <c r="F431" s="1">
        <f>SUM($E$10:E431)</f>
        <v>-184058.48710844098</v>
      </c>
    </row>
    <row r="432" spans="3:6" x14ac:dyDescent="0.25">
      <c r="C432">
        <f t="shared" si="21"/>
        <v>423</v>
      </c>
      <c r="D432" s="1">
        <f t="shared" si="22"/>
        <v>-149.15025197778732</v>
      </c>
      <c r="E432" s="1">
        <f t="shared" si="20"/>
        <v>-937.13867178896635</v>
      </c>
      <c r="F432" s="1">
        <f>SUM($E$10:E432)</f>
        <v>-184995.62578022995</v>
      </c>
    </row>
    <row r="433" spans="3:6" x14ac:dyDescent="0.25">
      <c r="C433">
        <f t="shared" si="21"/>
        <v>424</v>
      </c>
      <c r="D433" s="1">
        <f t="shared" si="22"/>
        <v>-149.52724309621809</v>
      </c>
      <c r="E433" s="1">
        <f t="shared" si="20"/>
        <v>-939.50737684522767</v>
      </c>
      <c r="F433" s="1">
        <f>SUM($E$10:E433)</f>
        <v>-185935.13315707518</v>
      </c>
    </row>
    <row r="434" spans="3:6" x14ac:dyDescent="0.25">
      <c r="C434">
        <f t="shared" si="21"/>
        <v>425</v>
      </c>
      <c r="D434" s="1">
        <f t="shared" si="22"/>
        <v>-149.90423421464885</v>
      </c>
      <c r="E434" s="1">
        <f t="shared" si="20"/>
        <v>-941.8760819014891</v>
      </c>
      <c r="F434" s="1">
        <f>SUM($E$10:E434)</f>
        <v>-186877.00923897667</v>
      </c>
    </row>
    <row r="435" spans="3:6" x14ac:dyDescent="0.25">
      <c r="C435">
        <f t="shared" si="21"/>
        <v>426</v>
      </c>
      <c r="D435" s="1">
        <f t="shared" si="22"/>
        <v>-150.28122533307962</v>
      </c>
      <c r="E435" s="1">
        <f t="shared" si="20"/>
        <v>-944.24478695775042</v>
      </c>
      <c r="F435" s="1">
        <f>SUM($E$10:E435)</f>
        <v>-187821.25402593441</v>
      </c>
    </row>
    <row r="436" spans="3:6" x14ac:dyDescent="0.25">
      <c r="C436">
        <f t="shared" si="21"/>
        <v>427</v>
      </c>
      <c r="D436" s="1">
        <f t="shared" si="22"/>
        <v>-150.65821645151038</v>
      </c>
      <c r="E436" s="1">
        <f t="shared" si="20"/>
        <v>-946.61349201401185</v>
      </c>
      <c r="F436" s="1">
        <f>SUM($E$10:E436)</f>
        <v>-188767.86751794841</v>
      </c>
    </row>
    <row r="437" spans="3:6" x14ac:dyDescent="0.25">
      <c r="C437">
        <f t="shared" si="21"/>
        <v>428</v>
      </c>
      <c r="D437" s="1">
        <f t="shared" si="22"/>
        <v>-151.03520756994115</v>
      </c>
      <c r="E437" s="1">
        <f t="shared" si="20"/>
        <v>-948.98219707027329</v>
      </c>
      <c r="F437" s="1">
        <f>SUM($E$10:E437)</f>
        <v>-189716.84971501867</v>
      </c>
    </row>
    <row r="438" spans="3:6" x14ac:dyDescent="0.25">
      <c r="C438">
        <f t="shared" si="21"/>
        <v>429</v>
      </c>
      <c r="D438" s="1">
        <f t="shared" si="22"/>
        <v>-151.41219868837192</v>
      </c>
      <c r="E438" s="1">
        <f t="shared" si="20"/>
        <v>-951.35090212653461</v>
      </c>
      <c r="F438" s="1">
        <f>SUM($E$10:E438)</f>
        <v>-190668.20061714522</v>
      </c>
    </row>
    <row r="439" spans="3:6" x14ac:dyDescent="0.25">
      <c r="C439">
        <f t="shared" si="21"/>
        <v>430</v>
      </c>
      <c r="D439" s="1">
        <f t="shared" si="22"/>
        <v>-151.78918980680268</v>
      </c>
      <c r="E439" s="1">
        <f t="shared" si="20"/>
        <v>-953.71960718279604</v>
      </c>
      <c r="F439" s="1">
        <f>SUM($E$10:E439)</f>
        <v>-191621.92022432803</v>
      </c>
    </row>
    <row r="440" spans="3:6" x14ac:dyDescent="0.25">
      <c r="C440">
        <f t="shared" si="21"/>
        <v>431</v>
      </c>
      <c r="D440" s="1">
        <f t="shared" si="22"/>
        <v>-152.16618092523345</v>
      </c>
      <c r="E440" s="1">
        <f t="shared" si="20"/>
        <v>-956.08831223905747</v>
      </c>
      <c r="F440" s="1">
        <f>SUM($E$10:E440)</f>
        <v>-192578.0085365671</v>
      </c>
    </row>
    <row r="441" spans="3:6" x14ac:dyDescent="0.25">
      <c r="C441">
        <f t="shared" si="21"/>
        <v>432</v>
      </c>
      <c r="D441" s="1">
        <f t="shared" si="22"/>
        <v>-152.54317204366421</v>
      </c>
      <c r="E441" s="1">
        <f t="shared" si="20"/>
        <v>-958.45701729531879</v>
      </c>
      <c r="F441" s="1">
        <f>SUM($E$10:E441)</f>
        <v>-193536.46555386242</v>
      </c>
    </row>
    <row r="442" spans="3:6" x14ac:dyDescent="0.25">
      <c r="C442">
        <f t="shared" si="21"/>
        <v>433</v>
      </c>
      <c r="D442" s="1">
        <f t="shared" si="22"/>
        <v>-152.92016316209498</v>
      </c>
      <c r="E442" s="1">
        <f t="shared" si="20"/>
        <v>-960.82572235158023</v>
      </c>
      <c r="F442" s="1">
        <f>SUM($E$10:E442)</f>
        <v>-194497.291276214</v>
      </c>
    </row>
    <row r="443" spans="3:6" x14ac:dyDescent="0.25">
      <c r="C443">
        <f t="shared" si="21"/>
        <v>434</v>
      </c>
      <c r="D443" s="1">
        <f t="shared" si="22"/>
        <v>-153.29715428052575</v>
      </c>
      <c r="E443" s="1">
        <f t="shared" si="20"/>
        <v>-963.19442740784154</v>
      </c>
      <c r="F443" s="1">
        <f>SUM($E$10:E443)</f>
        <v>-195460.48570362185</v>
      </c>
    </row>
    <row r="444" spans="3:6" x14ac:dyDescent="0.25">
      <c r="C444">
        <f t="shared" si="21"/>
        <v>435</v>
      </c>
      <c r="D444" s="1">
        <f t="shared" si="22"/>
        <v>-153.67414539895651</v>
      </c>
      <c r="E444" s="1">
        <f t="shared" si="20"/>
        <v>-965.56313246410298</v>
      </c>
      <c r="F444" s="1">
        <f>SUM($E$10:E444)</f>
        <v>-196426.04883608595</v>
      </c>
    </row>
    <row r="445" spans="3:6" x14ac:dyDescent="0.25">
      <c r="C445">
        <f t="shared" si="21"/>
        <v>436</v>
      </c>
      <c r="D445" s="1">
        <f t="shared" si="22"/>
        <v>-154.05113651738728</v>
      </c>
      <c r="E445" s="1">
        <f t="shared" si="20"/>
        <v>-967.93183752036441</v>
      </c>
      <c r="F445" s="1">
        <f>SUM($E$10:E445)</f>
        <v>-197393.9806736063</v>
      </c>
    </row>
    <row r="446" spans="3:6" x14ac:dyDescent="0.25">
      <c r="C446">
        <f t="shared" si="21"/>
        <v>437</v>
      </c>
      <c r="D446" s="1">
        <f t="shared" si="22"/>
        <v>-154.42812763581804</v>
      </c>
      <c r="E446" s="1">
        <f t="shared" si="20"/>
        <v>-970.30054257662573</v>
      </c>
      <c r="F446" s="1">
        <f>SUM($E$10:E446)</f>
        <v>-198364.28121618292</v>
      </c>
    </row>
    <row r="447" spans="3:6" x14ac:dyDescent="0.25">
      <c r="C447">
        <f t="shared" si="21"/>
        <v>438</v>
      </c>
      <c r="D447" s="1">
        <f t="shared" si="22"/>
        <v>-154.80511875424881</v>
      </c>
      <c r="E447" s="1">
        <f t="shared" si="20"/>
        <v>-972.66924763288716</v>
      </c>
      <c r="F447" s="1">
        <f>SUM($E$10:E447)</f>
        <v>-199336.9504638158</v>
      </c>
    </row>
    <row r="448" spans="3:6" x14ac:dyDescent="0.25">
      <c r="C448">
        <f t="shared" si="21"/>
        <v>439</v>
      </c>
      <c r="D448" s="1">
        <f t="shared" si="22"/>
        <v>-155.18210987267958</v>
      </c>
      <c r="E448" s="1">
        <f t="shared" si="20"/>
        <v>-975.03795268914848</v>
      </c>
      <c r="F448" s="1">
        <f>SUM($E$10:E448)</f>
        <v>-200311.98841650496</v>
      </c>
    </row>
    <row r="449" spans="3:6" x14ac:dyDescent="0.25">
      <c r="C449">
        <f t="shared" si="21"/>
        <v>440</v>
      </c>
      <c r="D449" s="1">
        <f t="shared" si="22"/>
        <v>-155.55910099111034</v>
      </c>
      <c r="E449" s="1">
        <f t="shared" si="20"/>
        <v>-977.40665774540992</v>
      </c>
      <c r="F449" s="1">
        <f>SUM($E$10:E449)</f>
        <v>-201289.39507425038</v>
      </c>
    </row>
    <row r="450" spans="3:6" x14ac:dyDescent="0.25">
      <c r="C450">
        <f t="shared" si="21"/>
        <v>441</v>
      </c>
      <c r="D450" s="1">
        <f t="shared" si="22"/>
        <v>-155.93609210954111</v>
      </c>
      <c r="E450" s="1">
        <f t="shared" si="20"/>
        <v>-979.77536280167135</v>
      </c>
      <c r="F450" s="1">
        <f>SUM($E$10:E450)</f>
        <v>-202269.17043705206</v>
      </c>
    </row>
    <row r="451" spans="3:6" x14ac:dyDescent="0.25">
      <c r="C451">
        <f t="shared" si="21"/>
        <v>442</v>
      </c>
      <c r="D451" s="1">
        <f t="shared" si="22"/>
        <v>-156.31308322797187</v>
      </c>
      <c r="E451" s="1">
        <f t="shared" si="20"/>
        <v>-982.14406785793267</v>
      </c>
      <c r="F451" s="1">
        <f>SUM($E$10:E451)</f>
        <v>-203251.31450491</v>
      </c>
    </row>
    <row r="452" spans="3:6" x14ac:dyDescent="0.25">
      <c r="C452">
        <f t="shared" si="21"/>
        <v>443</v>
      </c>
      <c r="D452" s="1">
        <f t="shared" si="22"/>
        <v>-156.69007434640264</v>
      </c>
      <c r="E452" s="1">
        <f t="shared" si="20"/>
        <v>-984.5127729141941</v>
      </c>
      <c r="F452" s="1">
        <f>SUM($E$10:E452)</f>
        <v>-204235.8272778242</v>
      </c>
    </row>
    <row r="453" spans="3:6" x14ac:dyDescent="0.25">
      <c r="C453">
        <f t="shared" si="21"/>
        <v>444</v>
      </c>
      <c r="D453" s="1">
        <f t="shared" si="22"/>
        <v>-157.06706546483341</v>
      </c>
      <c r="E453" s="1">
        <f t="shared" si="20"/>
        <v>-986.88147797045542</v>
      </c>
      <c r="F453" s="1">
        <f>SUM($E$10:E453)</f>
        <v>-205222.70875579465</v>
      </c>
    </row>
    <row r="454" spans="3:6" x14ac:dyDescent="0.25">
      <c r="C454">
        <f t="shared" si="21"/>
        <v>445</v>
      </c>
      <c r="D454" s="1">
        <f t="shared" si="22"/>
        <v>-157.44405658326417</v>
      </c>
      <c r="E454" s="1">
        <f t="shared" si="20"/>
        <v>-989.25018302671685</v>
      </c>
      <c r="F454" s="1">
        <f>SUM($E$10:E454)</f>
        <v>-206211.95893882136</v>
      </c>
    </row>
    <row r="455" spans="3:6" x14ac:dyDescent="0.25">
      <c r="C455">
        <f t="shared" si="21"/>
        <v>446</v>
      </c>
      <c r="D455" s="1">
        <f t="shared" si="22"/>
        <v>-157.82104770169494</v>
      </c>
      <c r="E455" s="1">
        <f t="shared" si="20"/>
        <v>-991.61888808297829</v>
      </c>
      <c r="F455" s="1">
        <f>SUM($E$10:E455)</f>
        <v>-207203.57782690434</v>
      </c>
    </row>
    <row r="456" spans="3:6" x14ac:dyDescent="0.25">
      <c r="C456">
        <f t="shared" si="21"/>
        <v>447</v>
      </c>
      <c r="D456" s="1">
        <f t="shared" si="22"/>
        <v>-158.1980388201257</v>
      </c>
      <c r="E456" s="1">
        <f t="shared" si="20"/>
        <v>-993.98759313923961</v>
      </c>
      <c r="F456" s="1">
        <f>SUM($E$10:E456)</f>
        <v>-208197.56542004357</v>
      </c>
    </row>
    <row r="457" spans="3:6" x14ac:dyDescent="0.25">
      <c r="C457">
        <f t="shared" si="21"/>
        <v>448</v>
      </c>
      <c r="D457" s="1">
        <f t="shared" si="22"/>
        <v>-158.57502993855647</v>
      </c>
      <c r="E457" s="1">
        <f t="shared" si="20"/>
        <v>-996.35629819550104</v>
      </c>
      <c r="F457" s="1">
        <f>SUM($E$10:E457)</f>
        <v>-209193.92171823906</v>
      </c>
    </row>
    <row r="458" spans="3:6" x14ac:dyDescent="0.25">
      <c r="C458">
        <f t="shared" si="21"/>
        <v>449</v>
      </c>
      <c r="D458" s="1">
        <f t="shared" si="22"/>
        <v>-158.95202105698723</v>
      </c>
      <c r="E458" s="1">
        <f t="shared" si="20"/>
        <v>-998.72500325176236</v>
      </c>
      <c r="F458" s="1">
        <f>SUM($E$10:E458)</f>
        <v>-210192.64672149083</v>
      </c>
    </row>
    <row r="459" spans="3:6" x14ac:dyDescent="0.25">
      <c r="C459">
        <f t="shared" si="21"/>
        <v>450</v>
      </c>
      <c r="D459" s="1">
        <f t="shared" si="22"/>
        <v>-159.329012175418</v>
      </c>
      <c r="E459" s="1">
        <f t="shared" ref="E459:E522" si="23">2*D459*PI()</f>
        <v>-1001.0937083080238</v>
      </c>
      <c r="F459" s="1">
        <f>SUM($E$10:E459)</f>
        <v>-211193.74042979887</v>
      </c>
    </row>
    <row r="460" spans="3:6" x14ac:dyDescent="0.25">
      <c r="C460">
        <f t="shared" si="21"/>
        <v>451</v>
      </c>
      <c r="D460" s="1">
        <f t="shared" si="22"/>
        <v>-159.70600329384877</v>
      </c>
      <c r="E460" s="1">
        <f t="shared" si="23"/>
        <v>-1003.4624133642852</v>
      </c>
      <c r="F460" s="1">
        <f>SUM($E$10:E460)</f>
        <v>-212197.20284316316</v>
      </c>
    </row>
    <row r="461" spans="3:6" x14ac:dyDescent="0.25">
      <c r="C461">
        <f t="shared" si="21"/>
        <v>452</v>
      </c>
      <c r="D461" s="1">
        <f t="shared" si="22"/>
        <v>-160.08299441227953</v>
      </c>
      <c r="E461" s="1">
        <f t="shared" si="23"/>
        <v>-1005.8311184205465</v>
      </c>
      <c r="F461" s="1">
        <f>SUM($E$10:E461)</f>
        <v>-213203.03396158371</v>
      </c>
    </row>
    <row r="462" spans="3:6" x14ac:dyDescent="0.25">
      <c r="C462">
        <f t="shared" si="21"/>
        <v>453</v>
      </c>
      <c r="D462" s="1">
        <f t="shared" si="22"/>
        <v>-160.4599855307103</v>
      </c>
      <c r="E462" s="1">
        <f t="shared" si="23"/>
        <v>-1008.199823476808</v>
      </c>
      <c r="F462" s="1">
        <f>SUM($E$10:E462)</f>
        <v>-214211.23378506053</v>
      </c>
    </row>
    <row r="463" spans="3:6" x14ac:dyDescent="0.25">
      <c r="C463">
        <f t="shared" si="21"/>
        <v>454</v>
      </c>
      <c r="D463" s="1">
        <f t="shared" si="22"/>
        <v>-160.83697664914106</v>
      </c>
      <c r="E463" s="1">
        <f t="shared" si="23"/>
        <v>-1010.5685285330693</v>
      </c>
      <c r="F463" s="1">
        <f>SUM($E$10:E463)</f>
        <v>-215221.80231359359</v>
      </c>
    </row>
    <row r="464" spans="3:6" x14ac:dyDescent="0.25">
      <c r="C464">
        <f t="shared" si="21"/>
        <v>455</v>
      </c>
      <c r="D464" s="1">
        <f t="shared" si="22"/>
        <v>-161.21396776757183</v>
      </c>
      <c r="E464" s="1">
        <f t="shared" si="23"/>
        <v>-1012.9372335893307</v>
      </c>
      <c r="F464" s="1">
        <f>SUM($E$10:E464)</f>
        <v>-216234.73954718292</v>
      </c>
    </row>
    <row r="465" spans="3:6" x14ac:dyDescent="0.25">
      <c r="C465">
        <f t="shared" si="21"/>
        <v>456</v>
      </c>
      <c r="D465" s="1">
        <f t="shared" si="22"/>
        <v>-161.5909588860026</v>
      </c>
      <c r="E465" s="1">
        <f t="shared" si="23"/>
        <v>-1015.3059386455922</v>
      </c>
      <c r="F465" s="1">
        <f>SUM($E$10:E465)</f>
        <v>-217250.04548582851</v>
      </c>
    </row>
    <row r="466" spans="3:6" x14ac:dyDescent="0.25">
      <c r="C466">
        <f t="shared" si="21"/>
        <v>457</v>
      </c>
      <c r="D466" s="1">
        <f t="shared" si="22"/>
        <v>-161.96795000443336</v>
      </c>
      <c r="E466" s="1">
        <f t="shared" si="23"/>
        <v>-1017.6746437018535</v>
      </c>
      <c r="F466" s="1">
        <f>SUM($E$10:E466)</f>
        <v>-218267.72012953035</v>
      </c>
    </row>
    <row r="467" spans="3:6" x14ac:dyDescent="0.25">
      <c r="C467">
        <f t="shared" si="21"/>
        <v>458</v>
      </c>
      <c r="D467" s="1">
        <f t="shared" si="22"/>
        <v>-162.34494112286413</v>
      </c>
      <c r="E467" s="1">
        <f t="shared" si="23"/>
        <v>-1020.0433487581149</v>
      </c>
      <c r="F467" s="1">
        <f>SUM($E$10:E467)</f>
        <v>-219287.76347828846</v>
      </c>
    </row>
    <row r="468" spans="3:6" x14ac:dyDescent="0.25">
      <c r="C468">
        <f t="shared" si="21"/>
        <v>459</v>
      </c>
      <c r="D468" s="1">
        <f t="shared" si="22"/>
        <v>-162.72193224129489</v>
      </c>
      <c r="E468" s="1">
        <f t="shared" si="23"/>
        <v>-1022.4120538143762</v>
      </c>
      <c r="F468" s="1">
        <f>SUM($E$10:E468)</f>
        <v>-220310.17553210285</v>
      </c>
    </row>
    <row r="469" spans="3:6" x14ac:dyDescent="0.25">
      <c r="C469">
        <f t="shared" si="21"/>
        <v>460</v>
      </c>
      <c r="D469" s="1">
        <f t="shared" si="22"/>
        <v>-163.09892335972566</v>
      </c>
      <c r="E469" s="1">
        <f t="shared" si="23"/>
        <v>-1024.7807588706376</v>
      </c>
      <c r="F469" s="1">
        <f>SUM($E$10:E469)</f>
        <v>-221334.9562909735</v>
      </c>
    </row>
    <row r="470" spans="3:6" x14ac:dyDescent="0.25">
      <c r="C470">
        <f t="shared" si="21"/>
        <v>461</v>
      </c>
      <c r="D470" s="1">
        <f t="shared" si="22"/>
        <v>-163.47591447815643</v>
      </c>
      <c r="E470" s="1">
        <f t="shared" si="23"/>
        <v>-1027.149463926899</v>
      </c>
      <c r="F470" s="1">
        <f>SUM($E$10:E470)</f>
        <v>-222362.1057549004</v>
      </c>
    </row>
    <row r="471" spans="3:6" x14ac:dyDescent="0.25">
      <c r="C471">
        <f t="shared" si="21"/>
        <v>462</v>
      </c>
      <c r="D471" s="1">
        <f t="shared" si="22"/>
        <v>-163.85290559658719</v>
      </c>
      <c r="E471" s="1">
        <f t="shared" si="23"/>
        <v>-1029.5181689831604</v>
      </c>
      <c r="F471" s="1">
        <f>SUM($E$10:E471)</f>
        <v>-223391.62392388357</v>
      </c>
    </row>
    <row r="472" spans="3:6" x14ac:dyDescent="0.25">
      <c r="C472">
        <f t="shared" si="21"/>
        <v>463</v>
      </c>
      <c r="D472" s="1">
        <f t="shared" si="22"/>
        <v>-164.22989671501796</v>
      </c>
      <c r="E472" s="1">
        <f t="shared" si="23"/>
        <v>-1031.8868740394219</v>
      </c>
      <c r="F472" s="1">
        <f>SUM($E$10:E472)</f>
        <v>-224423.51079792299</v>
      </c>
    </row>
    <row r="473" spans="3:6" x14ac:dyDescent="0.25">
      <c r="C473">
        <f t="shared" si="21"/>
        <v>464</v>
      </c>
      <c r="D473" s="1">
        <f t="shared" si="22"/>
        <v>-164.60688783344872</v>
      </c>
      <c r="E473" s="1">
        <f t="shared" si="23"/>
        <v>-1034.2555790956833</v>
      </c>
      <c r="F473" s="1">
        <f>SUM($E$10:E473)</f>
        <v>-225457.76637701868</v>
      </c>
    </row>
    <row r="474" spans="3:6" x14ac:dyDescent="0.25">
      <c r="C474">
        <f t="shared" si="21"/>
        <v>465</v>
      </c>
      <c r="D474" s="1">
        <f t="shared" si="22"/>
        <v>-164.98387895187949</v>
      </c>
      <c r="E474" s="1">
        <f t="shared" si="23"/>
        <v>-1036.6242841519445</v>
      </c>
      <c r="F474" s="1">
        <f>SUM($E$10:E474)</f>
        <v>-226494.39066117062</v>
      </c>
    </row>
    <row r="475" spans="3:6" x14ac:dyDescent="0.25">
      <c r="C475">
        <f t="shared" si="21"/>
        <v>466</v>
      </c>
      <c r="D475" s="1">
        <f t="shared" si="22"/>
        <v>-165.36087007031026</v>
      </c>
      <c r="E475" s="1">
        <f t="shared" si="23"/>
        <v>-1038.9929892082059</v>
      </c>
      <c r="F475" s="1">
        <f>SUM($E$10:E475)</f>
        <v>-227533.38365037882</v>
      </c>
    </row>
    <row r="476" spans="3:6" x14ac:dyDescent="0.25">
      <c r="C476">
        <f t="shared" si="21"/>
        <v>467</v>
      </c>
      <c r="D476" s="1">
        <f t="shared" si="22"/>
        <v>-165.73786118874102</v>
      </c>
      <c r="E476" s="1">
        <f t="shared" si="23"/>
        <v>-1041.3616942644674</v>
      </c>
      <c r="F476" s="1">
        <f>SUM($E$10:E476)</f>
        <v>-228574.74534464328</v>
      </c>
    </row>
    <row r="477" spans="3:6" x14ac:dyDescent="0.25">
      <c r="C477">
        <f t="shared" si="21"/>
        <v>468</v>
      </c>
      <c r="D477" s="1">
        <f t="shared" si="22"/>
        <v>-166.11485230717179</v>
      </c>
      <c r="E477" s="1">
        <f t="shared" si="23"/>
        <v>-1043.7303993207288</v>
      </c>
      <c r="F477" s="1">
        <f>SUM($E$10:E477)</f>
        <v>-229618.47574396399</v>
      </c>
    </row>
    <row r="478" spans="3:6" x14ac:dyDescent="0.25">
      <c r="C478">
        <f t="shared" ref="C478:C541" si="24">C477+1</f>
        <v>469</v>
      </c>
      <c r="D478" s="1">
        <f t="shared" ref="D478:D541" si="25">D477-(PI()*$D$4/100)</f>
        <v>-166.49184342560255</v>
      </c>
      <c r="E478" s="1">
        <f t="shared" si="23"/>
        <v>-1046.0991043769902</v>
      </c>
      <c r="F478" s="1">
        <f>SUM($E$10:E478)</f>
        <v>-230664.574848341</v>
      </c>
    </row>
    <row r="479" spans="3:6" x14ac:dyDescent="0.25">
      <c r="C479">
        <f t="shared" si="24"/>
        <v>470</v>
      </c>
      <c r="D479" s="1">
        <f t="shared" si="25"/>
        <v>-166.86883454403332</v>
      </c>
      <c r="E479" s="1">
        <f t="shared" si="23"/>
        <v>-1048.4678094332514</v>
      </c>
      <c r="F479" s="1">
        <f>SUM($E$10:E479)</f>
        <v>-231713.04265777426</v>
      </c>
    </row>
    <row r="480" spans="3:6" x14ac:dyDescent="0.25">
      <c r="C480">
        <f t="shared" si="24"/>
        <v>471</v>
      </c>
      <c r="D480" s="1">
        <f t="shared" si="25"/>
        <v>-167.24582566246409</v>
      </c>
      <c r="E480" s="1">
        <f t="shared" si="23"/>
        <v>-1050.8365144895129</v>
      </c>
      <c r="F480" s="1">
        <f>SUM($E$10:E480)</f>
        <v>-232763.87917226378</v>
      </c>
    </row>
    <row r="481" spans="3:6" x14ac:dyDescent="0.25">
      <c r="C481">
        <f t="shared" si="24"/>
        <v>472</v>
      </c>
      <c r="D481" s="1">
        <f t="shared" si="25"/>
        <v>-167.62281678089485</v>
      </c>
      <c r="E481" s="1">
        <f t="shared" si="23"/>
        <v>-1053.2052195457743</v>
      </c>
      <c r="F481" s="1">
        <f>SUM($E$10:E481)</f>
        <v>-233817.08439180956</v>
      </c>
    </row>
    <row r="482" spans="3:6" x14ac:dyDescent="0.25">
      <c r="C482">
        <f t="shared" si="24"/>
        <v>473</v>
      </c>
      <c r="D482" s="1">
        <f t="shared" si="25"/>
        <v>-167.99980789932562</v>
      </c>
      <c r="E482" s="1">
        <f t="shared" si="23"/>
        <v>-1055.5739246020357</v>
      </c>
      <c r="F482" s="1">
        <f>SUM($E$10:E482)</f>
        <v>-234872.6583164116</v>
      </c>
    </row>
    <row r="483" spans="3:6" x14ac:dyDescent="0.25">
      <c r="C483">
        <f t="shared" si="24"/>
        <v>474</v>
      </c>
      <c r="D483" s="1">
        <f t="shared" si="25"/>
        <v>-168.37679901775638</v>
      </c>
      <c r="E483" s="1">
        <f t="shared" si="23"/>
        <v>-1057.9426296582972</v>
      </c>
      <c r="F483" s="1">
        <f>SUM($E$10:E483)</f>
        <v>-235930.6009460699</v>
      </c>
    </row>
    <row r="484" spans="3:6" x14ac:dyDescent="0.25">
      <c r="C484">
        <f t="shared" si="24"/>
        <v>475</v>
      </c>
      <c r="D484" s="1">
        <f t="shared" si="25"/>
        <v>-168.75379013618715</v>
      </c>
      <c r="E484" s="1">
        <f t="shared" si="23"/>
        <v>-1060.3113347145584</v>
      </c>
      <c r="F484" s="1">
        <f>SUM($E$10:E484)</f>
        <v>-236990.91228078445</v>
      </c>
    </row>
    <row r="485" spans="3:6" x14ac:dyDescent="0.25">
      <c r="C485">
        <f t="shared" si="24"/>
        <v>476</v>
      </c>
      <c r="D485" s="1">
        <f t="shared" si="25"/>
        <v>-169.13078125461792</v>
      </c>
      <c r="E485" s="1">
        <f t="shared" si="23"/>
        <v>-1062.6800397708198</v>
      </c>
      <c r="F485" s="1">
        <f>SUM($E$10:E485)</f>
        <v>-238053.59232055527</v>
      </c>
    </row>
    <row r="486" spans="3:6" x14ac:dyDescent="0.25">
      <c r="C486">
        <f t="shared" si="24"/>
        <v>477</v>
      </c>
      <c r="D486" s="1">
        <f t="shared" si="25"/>
        <v>-169.50777237304868</v>
      </c>
      <c r="E486" s="1">
        <f t="shared" si="23"/>
        <v>-1065.0487448270812</v>
      </c>
      <c r="F486" s="1">
        <f>SUM($E$10:E486)</f>
        <v>-239118.64106538234</v>
      </c>
    </row>
    <row r="487" spans="3:6" x14ac:dyDescent="0.25">
      <c r="C487">
        <f t="shared" si="24"/>
        <v>478</v>
      </c>
      <c r="D487" s="1">
        <f t="shared" si="25"/>
        <v>-169.88476349147945</v>
      </c>
      <c r="E487" s="1">
        <f t="shared" si="23"/>
        <v>-1067.4174498833427</v>
      </c>
      <c r="F487" s="1">
        <f>SUM($E$10:E487)</f>
        <v>-240186.05851526567</v>
      </c>
    </row>
    <row r="488" spans="3:6" x14ac:dyDescent="0.25">
      <c r="C488">
        <f t="shared" si="24"/>
        <v>479</v>
      </c>
      <c r="D488" s="1">
        <f t="shared" si="25"/>
        <v>-170.26175460991021</v>
      </c>
      <c r="E488" s="1">
        <f t="shared" si="23"/>
        <v>-1069.7861549396041</v>
      </c>
      <c r="F488" s="1">
        <f>SUM($E$10:E488)</f>
        <v>-241255.84467020529</v>
      </c>
    </row>
    <row r="489" spans="3:6" x14ac:dyDescent="0.25">
      <c r="C489">
        <f t="shared" si="24"/>
        <v>480</v>
      </c>
      <c r="D489" s="1">
        <f t="shared" si="25"/>
        <v>-170.63874572834098</v>
      </c>
      <c r="E489" s="1">
        <f t="shared" si="23"/>
        <v>-1072.1548599958653</v>
      </c>
      <c r="F489" s="1">
        <f>SUM($E$10:E489)</f>
        <v>-242327.99953020117</v>
      </c>
    </row>
    <row r="490" spans="3:6" x14ac:dyDescent="0.25">
      <c r="C490">
        <f t="shared" si="24"/>
        <v>481</v>
      </c>
      <c r="D490" s="1">
        <f t="shared" si="25"/>
        <v>-171.01573684677174</v>
      </c>
      <c r="E490" s="1">
        <f t="shared" si="23"/>
        <v>-1074.5235650521267</v>
      </c>
      <c r="F490" s="1">
        <f>SUM($E$10:E490)</f>
        <v>-243402.5230952533</v>
      </c>
    </row>
    <row r="491" spans="3:6" x14ac:dyDescent="0.25">
      <c r="C491">
        <f t="shared" si="24"/>
        <v>482</v>
      </c>
      <c r="D491" s="1">
        <f t="shared" si="25"/>
        <v>-171.39272796520251</v>
      </c>
      <c r="E491" s="1">
        <f t="shared" si="23"/>
        <v>-1076.8922701083882</v>
      </c>
      <c r="F491" s="1">
        <f>SUM($E$10:E491)</f>
        <v>-244479.4153653617</v>
      </c>
    </row>
    <row r="492" spans="3:6" x14ac:dyDescent="0.25">
      <c r="C492">
        <f t="shared" si="24"/>
        <v>483</v>
      </c>
      <c r="D492" s="1">
        <f t="shared" si="25"/>
        <v>-171.76971908363328</v>
      </c>
      <c r="E492" s="1">
        <f t="shared" si="23"/>
        <v>-1079.2609751646496</v>
      </c>
      <c r="F492" s="1">
        <f>SUM($E$10:E492)</f>
        <v>-245558.67634052635</v>
      </c>
    </row>
    <row r="493" spans="3:6" x14ac:dyDescent="0.25">
      <c r="C493">
        <f t="shared" si="24"/>
        <v>484</v>
      </c>
      <c r="D493" s="1">
        <f t="shared" si="25"/>
        <v>-172.14671020206404</v>
      </c>
      <c r="E493" s="1">
        <f t="shared" si="23"/>
        <v>-1081.629680220911</v>
      </c>
      <c r="F493" s="1">
        <f>SUM($E$10:E493)</f>
        <v>-246640.30602074726</v>
      </c>
    </row>
    <row r="494" spans="3:6" x14ac:dyDescent="0.25">
      <c r="C494">
        <f t="shared" si="24"/>
        <v>485</v>
      </c>
      <c r="D494" s="1">
        <f t="shared" si="25"/>
        <v>-172.52370132049481</v>
      </c>
      <c r="E494" s="1">
        <f t="shared" si="23"/>
        <v>-1083.9983852771722</v>
      </c>
      <c r="F494" s="1">
        <f>SUM($E$10:E494)</f>
        <v>-247724.30440602443</v>
      </c>
    </row>
    <row r="495" spans="3:6" x14ac:dyDescent="0.25">
      <c r="C495">
        <f t="shared" si="24"/>
        <v>486</v>
      </c>
      <c r="D495" s="1">
        <f t="shared" si="25"/>
        <v>-172.90069243892557</v>
      </c>
      <c r="E495" s="1">
        <f t="shared" si="23"/>
        <v>-1086.3670903334337</v>
      </c>
      <c r="F495" s="1">
        <f>SUM($E$10:E495)</f>
        <v>-248810.67149635786</v>
      </c>
    </row>
    <row r="496" spans="3:6" x14ac:dyDescent="0.25">
      <c r="C496">
        <f t="shared" si="24"/>
        <v>487</v>
      </c>
      <c r="D496" s="1">
        <f t="shared" si="25"/>
        <v>-173.27768355735634</v>
      </c>
      <c r="E496" s="1">
        <f t="shared" si="23"/>
        <v>-1088.7357953896951</v>
      </c>
      <c r="F496" s="1">
        <f>SUM($E$10:E496)</f>
        <v>-249899.40729174754</v>
      </c>
    </row>
    <row r="497" spans="3:6" x14ac:dyDescent="0.25">
      <c r="C497">
        <f t="shared" si="24"/>
        <v>488</v>
      </c>
      <c r="D497" s="1">
        <f t="shared" si="25"/>
        <v>-173.65467467578711</v>
      </c>
      <c r="E497" s="1">
        <f t="shared" si="23"/>
        <v>-1091.1045004459565</v>
      </c>
      <c r="F497" s="1">
        <f>SUM($E$10:E497)</f>
        <v>-250990.51179219349</v>
      </c>
    </row>
    <row r="498" spans="3:6" x14ac:dyDescent="0.25">
      <c r="C498">
        <f t="shared" si="24"/>
        <v>489</v>
      </c>
      <c r="D498" s="1">
        <f t="shared" si="25"/>
        <v>-174.03166579421787</v>
      </c>
      <c r="E498" s="1">
        <f t="shared" si="23"/>
        <v>-1093.473205502218</v>
      </c>
      <c r="F498" s="1">
        <f>SUM($E$10:E498)</f>
        <v>-252083.98499769572</v>
      </c>
    </row>
    <row r="499" spans="3:6" x14ac:dyDescent="0.25">
      <c r="C499">
        <f t="shared" si="24"/>
        <v>490</v>
      </c>
      <c r="D499" s="1">
        <f t="shared" si="25"/>
        <v>-174.40865691264864</v>
      </c>
      <c r="E499" s="1">
        <f t="shared" si="23"/>
        <v>-1095.8419105584794</v>
      </c>
      <c r="F499" s="1">
        <f>SUM($E$10:E499)</f>
        <v>-253179.82690825421</v>
      </c>
    </row>
    <row r="500" spans="3:6" x14ac:dyDescent="0.25">
      <c r="C500">
        <f t="shared" si="24"/>
        <v>491</v>
      </c>
      <c r="D500" s="1">
        <f t="shared" si="25"/>
        <v>-174.7856480310794</v>
      </c>
      <c r="E500" s="1">
        <f t="shared" si="23"/>
        <v>-1098.2106156147406</v>
      </c>
      <c r="F500" s="1">
        <f>SUM($E$10:E500)</f>
        <v>-254278.03752386896</v>
      </c>
    </row>
    <row r="501" spans="3:6" x14ac:dyDescent="0.25">
      <c r="C501">
        <f t="shared" si="24"/>
        <v>492</v>
      </c>
      <c r="D501" s="1">
        <f t="shared" si="25"/>
        <v>-175.16263914951017</v>
      </c>
      <c r="E501" s="1">
        <f t="shared" si="23"/>
        <v>-1100.5793206710021</v>
      </c>
      <c r="F501" s="1">
        <f>SUM($E$10:E501)</f>
        <v>-255378.61684453997</v>
      </c>
    </row>
    <row r="502" spans="3:6" x14ac:dyDescent="0.25">
      <c r="C502">
        <f t="shared" si="24"/>
        <v>493</v>
      </c>
      <c r="D502" s="1">
        <f t="shared" si="25"/>
        <v>-175.53963026794094</v>
      </c>
      <c r="E502" s="1">
        <f t="shared" si="23"/>
        <v>-1102.9480257272635</v>
      </c>
      <c r="F502" s="1">
        <f>SUM($E$10:E502)</f>
        <v>-256481.56487026723</v>
      </c>
    </row>
    <row r="503" spans="3:6" x14ac:dyDescent="0.25">
      <c r="C503">
        <f t="shared" si="24"/>
        <v>494</v>
      </c>
      <c r="D503" s="1">
        <f t="shared" si="25"/>
        <v>-175.9166213863717</v>
      </c>
      <c r="E503" s="1">
        <f t="shared" si="23"/>
        <v>-1105.3167307835249</v>
      </c>
      <c r="F503" s="1">
        <f>SUM($E$10:E503)</f>
        <v>-257586.88160105076</v>
      </c>
    </row>
    <row r="504" spans="3:6" x14ac:dyDescent="0.25">
      <c r="C504">
        <f t="shared" si="24"/>
        <v>495</v>
      </c>
      <c r="D504" s="1">
        <f t="shared" si="25"/>
        <v>-176.29361250480247</v>
      </c>
      <c r="E504" s="1">
        <f t="shared" si="23"/>
        <v>-1107.6854358397864</v>
      </c>
      <c r="F504" s="1">
        <f>SUM($E$10:E504)</f>
        <v>-258694.56703689054</v>
      </c>
    </row>
    <row r="505" spans="3:6" x14ac:dyDescent="0.25">
      <c r="C505">
        <f t="shared" si="24"/>
        <v>496</v>
      </c>
      <c r="D505" s="1">
        <f t="shared" si="25"/>
        <v>-176.67060362323323</v>
      </c>
      <c r="E505" s="1">
        <f t="shared" si="23"/>
        <v>-1110.0541408960476</v>
      </c>
      <c r="F505" s="1">
        <f>SUM($E$10:E505)</f>
        <v>-259804.62117778658</v>
      </c>
    </row>
    <row r="506" spans="3:6" x14ac:dyDescent="0.25">
      <c r="C506">
        <f t="shared" si="24"/>
        <v>497</v>
      </c>
      <c r="D506" s="1">
        <f t="shared" si="25"/>
        <v>-177.047594741664</v>
      </c>
      <c r="E506" s="1">
        <f t="shared" si="23"/>
        <v>-1112.422845952309</v>
      </c>
      <c r="F506" s="1">
        <f>SUM($E$10:E506)</f>
        <v>-260917.04402373888</v>
      </c>
    </row>
    <row r="507" spans="3:6" x14ac:dyDescent="0.25">
      <c r="C507">
        <f t="shared" si="24"/>
        <v>498</v>
      </c>
      <c r="D507" s="1">
        <f t="shared" si="25"/>
        <v>-177.42458586009477</v>
      </c>
      <c r="E507" s="1">
        <f t="shared" si="23"/>
        <v>-1114.7915510085704</v>
      </c>
      <c r="F507" s="1">
        <f>SUM($E$10:E507)</f>
        <v>-262031.83557474744</v>
      </c>
    </row>
    <row r="508" spans="3:6" x14ac:dyDescent="0.25">
      <c r="C508">
        <f t="shared" si="24"/>
        <v>499</v>
      </c>
      <c r="D508" s="1">
        <f t="shared" si="25"/>
        <v>-177.80157697852553</v>
      </c>
      <c r="E508" s="1">
        <f t="shared" si="23"/>
        <v>-1117.1602560648319</v>
      </c>
      <c r="F508" s="1">
        <f>SUM($E$10:E508)</f>
        <v>-263148.99583081226</v>
      </c>
    </row>
    <row r="509" spans="3:6" x14ac:dyDescent="0.25">
      <c r="C509">
        <f t="shared" si="24"/>
        <v>500</v>
      </c>
      <c r="D509" s="1">
        <f t="shared" si="25"/>
        <v>-178.1785680969563</v>
      </c>
      <c r="E509" s="1">
        <f t="shared" si="23"/>
        <v>-1119.5289611210933</v>
      </c>
      <c r="F509" s="1">
        <f>SUM($E$10:E509)</f>
        <v>-264268.52479193336</v>
      </c>
    </row>
    <row r="510" spans="3:6" x14ac:dyDescent="0.25">
      <c r="C510">
        <f t="shared" si="24"/>
        <v>501</v>
      </c>
      <c r="D510" s="1">
        <f t="shared" si="25"/>
        <v>-178.55555921538706</v>
      </c>
      <c r="E510" s="1">
        <f t="shared" si="23"/>
        <v>-1121.8976661773545</v>
      </c>
      <c r="F510" s="1">
        <f>SUM($E$10:E510)</f>
        <v>-265390.42245811073</v>
      </c>
    </row>
    <row r="511" spans="3:6" x14ac:dyDescent="0.25">
      <c r="C511">
        <f t="shared" si="24"/>
        <v>502</v>
      </c>
      <c r="D511" s="1">
        <f t="shared" si="25"/>
        <v>-178.93255033381783</v>
      </c>
      <c r="E511" s="1">
        <f t="shared" si="23"/>
        <v>-1124.2663712336159</v>
      </c>
      <c r="F511" s="1">
        <f>SUM($E$10:E511)</f>
        <v>-266514.68882934435</v>
      </c>
    </row>
    <row r="512" spans="3:6" x14ac:dyDescent="0.25">
      <c r="C512">
        <f t="shared" si="24"/>
        <v>503</v>
      </c>
      <c r="D512" s="1">
        <f t="shared" si="25"/>
        <v>-179.3095414522486</v>
      </c>
      <c r="E512" s="1">
        <f t="shared" si="23"/>
        <v>-1126.6350762898774</v>
      </c>
      <c r="F512" s="1">
        <f>SUM($E$10:E512)</f>
        <v>-267641.32390563423</v>
      </c>
    </row>
    <row r="513" spans="3:6" x14ac:dyDescent="0.25">
      <c r="C513">
        <f t="shared" si="24"/>
        <v>504</v>
      </c>
      <c r="D513" s="1">
        <f t="shared" si="25"/>
        <v>-179.68653257067936</v>
      </c>
      <c r="E513" s="1">
        <f t="shared" si="23"/>
        <v>-1129.0037813461388</v>
      </c>
      <c r="F513" s="1">
        <f>SUM($E$10:E513)</f>
        <v>-268770.32768698037</v>
      </c>
    </row>
    <row r="514" spans="3:6" x14ac:dyDescent="0.25">
      <c r="C514">
        <f t="shared" si="24"/>
        <v>505</v>
      </c>
      <c r="D514" s="1">
        <f t="shared" si="25"/>
        <v>-180.06352368911013</v>
      </c>
      <c r="E514" s="1">
        <f t="shared" si="23"/>
        <v>-1131.3724864024002</v>
      </c>
      <c r="F514" s="1">
        <f>SUM($E$10:E514)</f>
        <v>-269901.70017338276</v>
      </c>
    </row>
    <row r="515" spans="3:6" x14ac:dyDescent="0.25">
      <c r="C515">
        <f t="shared" si="24"/>
        <v>506</v>
      </c>
      <c r="D515" s="1">
        <f t="shared" si="25"/>
        <v>-180.44051480754089</v>
      </c>
      <c r="E515" s="1">
        <f t="shared" si="23"/>
        <v>-1133.7411914586614</v>
      </c>
      <c r="F515" s="1">
        <f>SUM($E$10:E515)</f>
        <v>-271035.44136484142</v>
      </c>
    </row>
    <row r="516" spans="3:6" x14ac:dyDescent="0.25">
      <c r="C516">
        <f t="shared" si="24"/>
        <v>507</v>
      </c>
      <c r="D516" s="1">
        <f t="shared" si="25"/>
        <v>-180.81750592597166</v>
      </c>
      <c r="E516" s="1">
        <f t="shared" si="23"/>
        <v>-1136.1098965149229</v>
      </c>
      <c r="F516" s="1">
        <f>SUM($E$10:E516)</f>
        <v>-272171.55126135633</v>
      </c>
    </row>
    <row r="517" spans="3:6" x14ac:dyDescent="0.25">
      <c r="C517">
        <f t="shared" si="24"/>
        <v>508</v>
      </c>
      <c r="D517" s="1">
        <f t="shared" si="25"/>
        <v>-181.19449704440242</v>
      </c>
      <c r="E517" s="1">
        <f t="shared" si="23"/>
        <v>-1138.4786015711843</v>
      </c>
      <c r="F517" s="1">
        <f>SUM($E$10:E517)</f>
        <v>-273310.02986292751</v>
      </c>
    </row>
    <row r="518" spans="3:6" x14ac:dyDescent="0.25">
      <c r="C518">
        <f t="shared" si="24"/>
        <v>509</v>
      </c>
      <c r="D518" s="1">
        <f t="shared" si="25"/>
        <v>-181.57148816283319</v>
      </c>
      <c r="E518" s="1">
        <f t="shared" si="23"/>
        <v>-1140.8473066274457</v>
      </c>
      <c r="F518" s="1">
        <f>SUM($E$10:E518)</f>
        <v>-274450.87716955494</v>
      </c>
    </row>
    <row r="519" spans="3:6" x14ac:dyDescent="0.25">
      <c r="C519">
        <f t="shared" si="24"/>
        <v>510</v>
      </c>
      <c r="D519" s="1">
        <f t="shared" si="25"/>
        <v>-181.94847928126396</v>
      </c>
      <c r="E519" s="1">
        <f t="shared" si="23"/>
        <v>-1143.2160116837072</v>
      </c>
      <c r="F519" s="1">
        <f>SUM($E$10:E519)</f>
        <v>-275594.09318123863</v>
      </c>
    </row>
    <row r="520" spans="3:6" x14ac:dyDescent="0.25">
      <c r="C520">
        <f t="shared" si="24"/>
        <v>511</v>
      </c>
      <c r="D520" s="1">
        <f t="shared" si="25"/>
        <v>-182.32547039969472</v>
      </c>
      <c r="E520" s="1">
        <f t="shared" si="23"/>
        <v>-1145.5847167399684</v>
      </c>
      <c r="F520" s="1">
        <f>SUM($E$10:E520)</f>
        <v>-276739.67789797857</v>
      </c>
    </row>
    <row r="521" spans="3:6" x14ac:dyDescent="0.25">
      <c r="C521">
        <f t="shared" si="24"/>
        <v>512</v>
      </c>
      <c r="D521" s="1">
        <f t="shared" si="25"/>
        <v>-182.70246151812549</v>
      </c>
      <c r="E521" s="1">
        <f t="shared" si="23"/>
        <v>-1147.9534217962298</v>
      </c>
      <c r="F521" s="1">
        <f>SUM($E$10:E521)</f>
        <v>-277887.63131977478</v>
      </c>
    </row>
    <row r="522" spans="3:6" x14ac:dyDescent="0.25">
      <c r="C522">
        <f t="shared" si="24"/>
        <v>513</v>
      </c>
      <c r="D522" s="1">
        <f t="shared" si="25"/>
        <v>-183.07945263655625</v>
      </c>
      <c r="E522" s="1">
        <f t="shared" si="23"/>
        <v>-1150.3221268524912</v>
      </c>
      <c r="F522" s="1">
        <f>SUM($E$10:E522)</f>
        <v>-279037.95344662725</v>
      </c>
    </row>
    <row r="523" spans="3:6" x14ac:dyDescent="0.25">
      <c r="C523">
        <f t="shared" si="24"/>
        <v>514</v>
      </c>
      <c r="D523" s="1">
        <f t="shared" si="25"/>
        <v>-183.45644375498702</v>
      </c>
      <c r="E523" s="1">
        <f t="shared" ref="E523:E586" si="26">2*D523*PI()</f>
        <v>-1152.6908319087527</v>
      </c>
      <c r="F523" s="1">
        <f>SUM($E$10:E523)</f>
        <v>-280190.64427853603</v>
      </c>
    </row>
    <row r="524" spans="3:6" x14ac:dyDescent="0.25">
      <c r="C524">
        <f t="shared" si="24"/>
        <v>515</v>
      </c>
      <c r="D524" s="1">
        <f t="shared" si="25"/>
        <v>-183.83343487341779</v>
      </c>
      <c r="E524" s="1">
        <f t="shared" si="26"/>
        <v>-1155.0595369650141</v>
      </c>
      <c r="F524" s="1">
        <f>SUM($E$10:E524)</f>
        <v>-281345.70381550107</v>
      </c>
    </row>
    <row r="525" spans="3:6" x14ac:dyDescent="0.25">
      <c r="C525">
        <f t="shared" si="24"/>
        <v>516</v>
      </c>
      <c r="D525" s="1">
        <f t="shared" si="25"/>
        <v>-184.21042599184855</v>
      </c>
      <c r="E525" s="1">
        <f t="shared" si="26"/>
        <v>-1157.4282420212753</v>
      </c>
      <c r="F525" s="1">
        <f>SUM($E$10:E525)</f>
        <v>-282503.13205752237</v>
      </c>
    </row>
    <row r="526" spans="3:6" x14ac:dyDescent="0.25">
      <c r="C526">
        <f t="shared" si="24"/>
        <v>517</v>
      </c>
      <c r="D526" s="1">
        <f t="shared" si="25"/>
        <v>-184.58741711027932</v>
      </c>
      <c r="E526" s="1">
        <f t="shared" si="26"/>
        <v>-1159.7969470775367</v>
      </c>
      <c r="F526" s="1">
        <f>SUM($E$10:E526)</f>
        <v>-283662.92900459992</v>
      </c>
    </row>
    <row r="527" spans="3:6" x14ac:dyDescent="0.25">
      <c r="C527">
        <f t="shared" si="24"/>
        <v>518</v>
      </c>
      <c r="D527" s="1">
        <f t="shared" si="25"/>
        <v>-184.96440822871008</v>
      </c>
      <c r="E527" s="1">
        <f t="shared" si="26"/>
        <v>-1162.1656521337982</v>
      </c>
      <c r="F527" s="1">
        <f>SUM($E$10:E527)</f>
        <v>-284825.09465673374</v>
      </c>
    </row>
    <row r="528" spans="3:6" x14ac:dyDescent="0.25">
      <c r="C528">
        <f t="shared" si="24"/>
        <v>519</v>
      </c>
      <c r="D528" s="1">
        <f t="shared" si="25"/>
        <v>-185.34139934714085</v>
      </c>
      <c r="E528" s="1">
        <f t="shared" si="26"/>
        <v>-1164.5343571900596</v>
      </c>
      <c r="F528" s="1">
        <f>SUM($E$10:E528)</f>
        <v>-285989.62901392381</v>
      </c>
    </row>
    <row r="529" spans="3:6" x14ac:dyDescent="0.25">
      <c r="C529">
        <f t="shared" si="24"/>
        <v>520</v>
      </c>
      <c r="D529" s="1">
        <f t="shared" si="25"/>
        <v>-185.71839046557162</v>
      </c>
      <c r="E529" s="1">
        <f t="shared" si="26"/>
        <v>-1166.903062246321</v>
      </c>
      <c r="F529" s="1">
        <f>SUM($E$10:E529)</f>
        <v>-287156.53207617014</v>
      </c>
    </row>
    <row r="530" spans="3:6" x14ac:dyDescent="0.25">
      <c r="C530">
        <f t="shared" si="24"/>
        <v>521</v>
      </c>
      <c r="D530" s="1">
        <f t="shared" si="25"/>
        <v>-186.09538158400238</v>
      </c>
      <c r="E530" s="1">
        <f t="shared" si="26"/>
        <v>-1169.2717673025822</v>
      </c>
      <c r="F530" s="1">
        <f>SUM($E$10:E530)</f>
        <v>-288325.80384347274</v>
      </c>
    </row>
    <row r="531" spans="3:6" x14ac:dyDescent="0.25">
      <c r="C531">
        <f t="shared" si="24"/>
        <v>522</v>
      </c>
      <c r="D531" s="1">
        <f t="shared" si="25"/>
        <v>-186.47237270243315</v>
      </c>
      <c r="E531" s="1">
        <f t="shared" si="26"/>
        <v>-1171.6404723588437</v>
      </c>
      <c r="F531" s="1">
        <f>SUM($E$10:E531)</f>
        <v>-289497.44431583158</v>
      </c>
    </row>
    <row r="532" spans="3:6" x14ac:dyDescent="0.25">
      <c r="C532">
        <f t="shared" si="24"/>
        <v>523</v>
      </c>
      <c r="D532" s="1">
        <f t="shared" si="25"/>
        <v>-186.84936382086391</v>
      </c>
      <c r="E532" s="1">
        <f t="shared" si="26"/>
        <v>-1174.0091774151051</v>
      </c>
      <c r="F532" s="1">
        <f>SUM($E$10:E532)</f>
        <v>-290671.45349324669</v>
      </c>
    </row>
    <row r="533" spans="3:6" x14ac:dyDescent="0.25">
      <c r="C533">
        <f t="shared" si="24"/>
        <v>524</v>
      </c>
      <c r="D533" s="1">
        <f t="shared" si="25"/>
        <v>-187.22635493929468</v>
      </c>
      <c r="E533" s="1">
        <f t="shared" si="26"/>
        <v>-1176.3778824713665</v>
      </c>
      <c r="F533" s="1">
        <f>SUM($E$10:E533)</f>
        <v>-291847.83137571806</v>
      </c>
    </row>
    <row r="534" spans="3:6" x14ac:dyDescent="0.25">
      <c r="C534">
        <f t="shared" si="24"/>
        <v>525</v>
      </c>
      <c r="D534" s="1">
        <f t="shared" si="25"/>
        <v>-187.60334605772545</v>
      </c>
      <c r="E534" s="1">
        <f t="shared" si="26"/>
        <v>-1178.746587527628</v>
      </c>
      <c r="F534" s="1">
        <f>SUM($E$10:E534)</f>
        <v>-293026.57796324568</v>
      </c>
    </row>
    <row r="535" spans="3:6" x14ac:dyDescent="0.25">
      <c r="C535">
        <f t="shared" si="24"/>
        <v>526</v>
      </c>
      <c r="D535" s="1">
        <f t="shared" si="25"/>
        <v>-187.98033717615621</v>
      </c>
      <c r="E535" s="1">
        <f t="shared" si="26"/>
        <v>-1181.1152925838892</v>
      </c>
      <c r="F535" s="1">
        <f>SUM($E$10:E535)</f>
        <v>-294207.69325582957</v>
      </c>
    </row>
    <row r="536" spans="3:6" x14ac:dyDescent="0.25">
      <c r="C536">
        <f t="shared" si="24"/>
        <v>527</v>
      </c>
      <c r="D536" s="1">
        <f t="shared" si="25"/>
        <v>-188.35732829458698</v>
      </c>
      <c r="E536" s="1">
        <f t="shared" si="26"/>
        <v>-1183.4839976401506</v>
      </c>
      <c r="F536" s="1">
        <f>SUM($E$10:E536)</f>
        <v>-295391.17725346971</v>
      </c>
    </row>
    <row r="537" spans="3:6" x14ac:dyDescent="0.25">
      <c r="C537">
        <f t="shared" si="24"/>
        <v>528</v>
      </c>
      <c r="D537" s="1">
        <f t="shared" si="25"/>
        <v>-188.73431941301774</v>
      </c>
      <c r="E537" s="1">
        <f t="shared" si="26"/>
        <v>-1185.8527026964121</v>
      </c>
      <c r="F537" s="1">
        <f>SUM($E$10:E537)</f>
        <v>-296577.02995616611</v>
      </c>
    </row>
    <row r="538" spans="3:6" x14ac:dyDescent="0.25">
      <c r="C538">
        <f t="shared" si="24"/>
        <v>529</v>
      </c>
      <c r="D538" s="1">
        <f t="shared" si="25"/>
        <v>-189.11131053144851</v>
      </c>
      <c r="E538" s="1">
        <f t="shared" si="26"/>
        <v>-1188.2214077526735</v>
      </c>
      <c r="F538" s="1">
        <f>SUM($E$10:E538)</f>
        <v>-297765.25136391877</v>
      </c>
    </row>
    <row r="539" spans="3:6" x14ac:dyDescent="0.25">
      <c r="C539">
        <f t="shared" si="24"/>
        <v>530</v>
      </c>
      <c r="D539" s="1">
        <f t="shared" si="25"/>
        <v>-189.48830164987928</v>
      </c>
      <c r="E539" s="1">
        <f t="shared" si="26"/>
        <v>-1190.5901128089349</v>
      </c>
      <c r="F539" s="1">
        <f>SUM($E$10:E539)</f>
        <v>-298955.84147672768</v>
      </c>
    </row>
    <row r="540" spans="3:6" x14ac:dyDescent="0.25">
      <c r="C540">
        <f t="shared" si="24"/>
        <v>531</v>
      </c>
      <c r="D540" s="1">
        <f t="shared" si="25"/>
        <v>-189.86529276831004</v>
      </c>
      <c r="E540" s="1">
        <f t="shared" si="26"/>
        <v>-1192.9588178651961</v>
      </c>
      <c r="F540" s="1">
        <f>SUM($E$10:E540)</f>
        <v>-300148.80029459286</v>
      </c>
    </row>
    <row r="541" spans="3:6" x14ac:dyDescent="0.25">
      <c r="C541">
        <f t="shared" si="24"/>
        <v>532</v>
      </c>
      <c r="D541" s="1">
        <f t="shared" si="25"/>
        <v>-190.24228388674081</v>
      </c>
      <c r="E541" s="1">
        <f t="shared" si="26"/>
        <v>-1195.3275229214576</v>
      </c>
      <c r="F541" s="1">
        <f>SUM($E$10:E541)</f>
        <v>-301344.12781751429</v>
      </c>
    </row>
    <row r="542" spans="3:6" x14ac:dyDescent="0.25">
      <c r="C542">
        <f t="shared" ref="C542:C605" si="27">C541+1</f>
        <v>533</v>
      </c>
      <c r="D542" s="1">
        <f t="shared" ref="D542:D605" si="28">D541-(PI()*$D$4/100)</f>
        <v>-190.61927500517157</v>
      </c>
      <c r="E542" s="1">
        <f t="shared" si="26"/>
        <v>-1197.696227977719</v>
      </c>
      <c r="F542" s="1">
        <f>SUM($E$10:E542)</f>
        <v>-302541.82404549199</v>
      </c>
    </row>
    <row r="543" spans="3:6" x14ac:dyDescent="0.25">
      <c r="C543">
        <f t="shared" si="27"/>
        <v>534</v>
      </c>
      <c r="D543" s="1">
        <f t="shared" si="28"/>
        <v>-190.99626612360234</v>
      </c>
      <c r="E543" s="1">
        <f t="shared" si="26"/>
        <v>-1200.0649330339804</v>
      </c>
      <c r="F543" s="1">
        <f>SUM($E$10:E543)</f>
        <v>-303741.888978526</v>
      </c>
    </row>
    <row r="544" spans="3:6" x14ac:dyDescent="0.25">
      <c r="C544">
        <f t="shared" si="27"/>
        <v>535</v>
      </c>
      <c r="D544" s="1">
        <f t="shared" si="28"/>
        <v>-191.37325724203311</v>
      </c>
      <c r="E544" s="1">
        <f t="shared" si="26"/>
        <v>-1202.4336380902419</v>
      </c>
      <c r="F544" s="1">
        <f>SUM($E$10:E544)</f>
        <v>-304944.32261661626</v>
      </c>
    </row>
    <row r="545" spans="3:6" x14ac:dyDescent="0.25">
      <c r="C545">
        <f t="shared" si="27"/>
        <v>536</v>
      </c>
      <c r="D545" s="1">
        <f t="shared" si="28"/>
        <v>-191.75024836046387</v>
      </c>
      <c r="E545" s="1">
        <f t="shared" si="26"/>
        <v>-1204.8023431465031</v>
      </c>
      <c r="F545" s="1">
        <f>SUM($E$10:E545)</f>
        <v>-306149.12495976279</v>
      </c>
    </row>
    <row r="546" spans="3:6" x14ac:dyDescent="0.25">
      <c r="C546">
        <f t="shared" si="27"/>
        <v>537</v>
      </c>
      <c r="D546" s="1">
        <f t="shared" si="28"/>
        <v>-192.12723947889464</v>
      </c>
      <c r="E546" s="1">
        <f t="shared" si="26"/>
        <v>-1207.1710482027645</v>
      </c>
      <c r="F546" s="1">
        <f>SUM($E$10:E546)</f>
        <v>-307356.29600796557</v>
      </c>
    </row>
    <row r="547" spans="3:6" x14ac:dyDescent="0.25">
      <c r="C547">
        <f t="shared" si="27"/>
        <v>538</v>
      </c>
      <c r="D547" s="1">
        <f t="shared" si="28"/>
        <v>-192.5042305973254</v>
      </c>
      <c r="E547" s="1">
        <f t="shared" si="26"/>
        <v>-1209.5397532590259</v>
      </c>
      <c r="F547" s="1">
        <f>SUM($E$10:E547)</f>
        <v>-308565.83576122462</v>
      </c>
    </row>
    <row r="548" spans="3:6" x14ac:dyDescent="0.25">
      <c r="C548">
        <f t="shared" si="27"/>
        <v>539</v>
      </c>
      <c r="D548" s="1">
        <f t="shared" si="28"/>
        <v>-192.88122171575617</v>
      </c>
      <c r="E548" s="1">
        <f t="shared" si="26"/>
        <v>-1211.9084583152874</v>
      </c>
      <c r="F548" s="1">
        <f>SUM($E$10:E548)</f>
        <v>-309777.74421953992</v>
      </c>
    </row>
    <row r="549" spans="3:6" x14ac:dyDescent="0.25">
      <c r="C549">
        <f t="shared" si="27"/>
        <v>540</v>
      </c>
      <c r="D549" s="1">
        <f t="shared" si="28"/>
        <v>-193.25821283418693</v>
      </c>
      <c r="E549" s="1">
        <f t="shared" si="26"/>
        <v>-1214.2771633715488</v>
      </c>
      <c r="F549" s="1">
        <f>SUM($E$10:E549)</f>
        <v>-310992.02138291148</v>
      </c>
    </row>
    <row r="550" spans="3:6" x14ac:dyDescent="0.25">
      <c r="C550">
        <f t="shared" si="27"/>
        <v>541</v>
      </c>
      <c r="D550" s="1">
        <f t="shared" si="28"/>
        <v>-193.6352039526177</v>
      </c>
      <c r="E550" s="1">
        <f t="shared" si="26"/>
        <v>-1216.64586842781</v>
      </c>
      <c r="F550" s="1">
        <f>SUM($E$10:E550)</f>
        <v>-312208.6672513393</v>
      </c>
    </row>
    <row r="551" spans="3:6" x14ac:dyDescent="0.25">
      <c r="C551">
        <f t="shared" si="27"/>
        <v>542</v>
      </c>
      <c r="D551" s="1">
        <f t="shared" si="28"/>
        <v>-194.01219507104847</v>
      </c>
      <c r="E551" s="1">
        <f t="shared" si="26"/>
        <v>-1219.0145734840714</v>
      </c>
      <c r="F551" s="1">
        <f>SUM($E$10:E551)</f>
        <v>-313427.68182482338</v>
      </c>
    </row>
    <row r="552" spans="3:6" x14ac:dyDescent="0.25">
      <c r="C552">
        <f t="shared" si="27"/>
        <v>543</v>
      </c>
      <c r="D552" s="1">
        <f t="shared" si="28"/>
        <v>-194.38918618947923</v>
      </c>
      <c r="E552" s="1">
        <f t="shared" si="26"/>
        <v>-1221.3832785403329</v>
      </c>
      <c r="F552" s="1">
        <f>SUM($E$10:E552)</f>
        <v>-314649.06510336371</v>
      </c>
    </row>
    <row r="553" spans="3:6" x14ac:dyDescent="0.25">
      <c r="C553">
        <f t="shared" si="27"/>
        <v>544</v>
      </c>
      <c r="D553" s="1">
        <f t="shared" si="28"/>
        <v>-194.76617730791</v>
      </c>
      <c r="E553" s="1">
        <f t="shared" si="26"/>
        <v>-1223.7519835965943</v>
      </c>
      <c r="F553" s="1">
        <f>SUM($E$10:E553)</f>
        <v>-315872.81708696031</v>
      </c>
    </row>
    <row r="554" spans="3:6" x14ac:dyDescent="0.25">
      <c r="C554">
        <f t="shared" si="27"/>
        <v>545</v>
      </c>
      <c r="D554" s="1">
        <f t="shared" si="28"/>
        <v>-195.14316842634076</v>
      </c>
      <c r="E554" s="1">
        <f t="shared" si="26"/>
        <v>-1226.1206886528557</v>
      </c>
      <c r="F554" s="1">
        <f>SUM($E$10:E554)</f>
        <v>-317098.93777561316</v>
      </c>
    </row>
    <row r="555" spans="3:6" x14ac:dyDescent="0.25">
      <c r="C555">
        <f t="shared" si="27"/>
        <v>546</v>
      </c>
      <c r="D555" s="1">
        <f t="shared" si="28"/>
        <v>-195.52015954477153</v>
      </c>
      <c r="E555" s="1">
        <f t="shared" si="26"/>
        <v>-1228.4893937091169</v>
      </c>
      <c r="F555" s="1">
        <f>SUM($E$10:E555)</f>
        <v>-318327.42716932227</v>
      </c>
    </row>
    <row r="556" spans="3:6" x14ac:dyDescent="0.25">
      <c r="C556">
        <f t="shared" si="27"/>
        <v>547</v>
      </c>
      <c r="D556" s="1">
        <f t="shared" si="28"/>
        <v>-195.8971506632023</v>
      </c>
      <c r="E556" s="1">
        <f t="shared" si="26"/>
        <v>-1230.8580987653784</v>
      </c>
      <c r="F556" s="1">
        <f>SUM($E$10:E556)</f>
        <v>-319558.28526808764</v>
      </c>
    </row>
    <row r="557" spans="3:6" x14ac:dyDescent="0.25">
      <c r="C557">
        <f t="shared" si="27"/>
        <v>548</v>
      </c>
      <c r="D557" s="1">
        <f t="shared" si="28"/>
        <v>-196.27414178163306</v>
      </c>
      <c r="E557" s="1">
        <f t="shared" si="26"/>
        <v>-1233.2268038216398</v>
      </c>
      <c r="F557" s="1">
        <f>SUM($E$10:E557)</f>
        <v>-320791.51207190927</v>
      </c>
    </row>
    <row r="558" spans="3:6" x14ac:dyDescent="0.25">
      <c r="C558">
        <f t="shared" si="27"/>
        <v>549</v>
      </c>
      <c r="D558" s="1">
        <f t="shared" si="28"/>
        <v>-196.65113290006383</v>
      </c>
      <c r="E558" s="1">
        <f t="shared" si="26"/>
        <v>-1235.5955088779012</v>
      </c>
      <c r="F558" s="1">
        <f>SUM($E$10:E558)</f>
        <v>-322027.10758078715</v>
      </c>
    </row>
    <row r="559" spans="3:6" x14ac:dyDescent="0.25">
      <c r="C559">
        <f t="shared" si="27"/>
        <v>550</v>
      </c>
      <c r="D559" s="1">
        <f t="shared" si="28"/>
        <v>-197.02812401849459</v>
      </c>
      <c r="E559" s="1">
        <f t="shared" si="26"/>
        <v>-1237.9642139341627</v>
      </c>
      <c r="F559" s="1">
        <f>SUM($E$10:E559)</f>
        <v>-323265.0717947213</v>
      </c>
    </row>
    <row r="560" spans="3:6" x14ac:dyDescent="0.25">
      <c r="C560">
        <f t="shared" si="27"/>
        <v>551</v>
      </c>
      <c r="D560" s="1">
        <f t="shared" si="28"/>
        <v>-197.40511513692536</v>
      </c>
      <c r="E560" s="1">
        <f t="shared" si="26"/>
        <v>-1240.3329189904239</v>
      </c>
      <c r="F560" s="1">
        <f>SUM($E$10:E560)</f>
        <v>-324505.4047137117</v>
      </c>
    </row>
    <row r="561" spans="3:6" x14ac:dyDescent="0.25">
      <c r="C561">
        <f t="shared" si="27"/>
        <v>552</v>
      </c>
      <c r="D561" s="1">
        <f t="shared" si="28"/>
        <v>-197.78210625535613</v>
      </c>
      <c r="E561" s="1">
        <f t="shared" si="26"/>
        <v>-1242.7016240466853</v>
      </c>
      <c r="F561" s="1">
        <f>SUM($E$10:E561)</f>
        <v>-325748.10633775836</v>
      </c>
    </row>
    <row r="562" spans="3:6" x14ac:dyDescent="0.25">
      <c r="C562">
        <f t="shared" si="27"/>
        <v>553</v>
      </c>
      <c r="D562" s="1">
        <f t="shared" si="28"/>
        <v>-198.15909737378689</v>
      </c>
      <c r="E562" s="1">
        <f t="shared" si="26"/>
        <v>-1245.0703291029467</v>
      </c>
      <c r="F562" s="1">
        <f>SUM($E$10:E562)</f>
        <v>-326993.17666686128</v>
      </c>
    </row>
    <row r="563" spans="3:6" x14ac:dyDescent="0.25">
      <c r="C563">
        <f t="shared" si="27"/>
        <v>554</v>
      </c>
      <c r="D563" s="1">
        <f t="shared" si="28"/>
        <v>-198.53608849221766</v>
      </c>
      <c r="E563" s="1">
        <f t="shared" si="26"/>
        <v>-1247.4390341592082</v>
      </c>
      <c r="F563" s="1">
        <f>SUM($E$10:E563)</f>
        <v>-328240.61570102052</v>
      </c>
    </row>
    <row r="564" spans="3:6" x14ac:dyDescent="0.25">
      <c r="C564">
        <f t="shared" si="27"/>
        <v>555</v>
      </c>
      <c r="D564" s="1">
        <f t="shared" si="28"/>
        <v>-198.91307961064842</v>
      </c>
      <c r="E564" s="1">
        <f t="shared" si="26"/>
        <v>-1249.8077392154696</v>
      </c>
      <c r="F564" s="1">
        <f>SUM($E$10:E564)</f>
        <v>-329490.42344023602</v>
      </c>
    </row>
    <row r="565" spans="3:6" x14ac:dyDescent="0.25">
      <c r="C565">
        <f t="shared" si="27"/>
        <v>556</v>
      </c>
      <c r="D565" s="1">
        <f t="shared" si="28"/>
        <v>-199.29007072907919</v>
      </c>
      <c r="E565" s="1">
        <f t="shared" si="26"/>
        <v>-1252.1764442717308</v>
      </c>
      <c r="F565" s="1">
        <f>SUM($E$10:E565)</f>
        <v>-330742.59988450777</v>
      </c>
    </row>
    <row r="566" spans="3:6" x14ac:dyDescent="0.25">
      <c r="C566">
        <f t="shared" si="27"/>
        <v>557</v>
      </c>
      <c r="D566" s="1">
        <f t="shared" si="28"/>
        <v>-199.66706184750996</v>
      </c>
      <c r="E566" s="1">
        <f t="shared" si="26"/>
        <v>-1254.5451493279922</v>
      </c>
      <c r="F566" s="1">
        <f>SUM($E$10:E566)</f>
        <v>-331997.14503383578</v>
      </c>
    </row>
    <row r="567" spans="3:6" x14ac:dyDescent="0.25">
      <c r="C567">
        <f t="shared" si="27"/>
        <v>558</v>
      </c>
      <c r="D567" s="1">
        <f t="shared" si="28"/>
        <v>-200.04405296594072</v>
      </c>
      <c r="E567" s="1">
        <f t="shared" si="26"/>
        <v>-1256.9138543842537</v>
      </c>
      <c r="F567" s="1">
        <f>SUM($E$10:E567)</f>
        <v>-333254.05888822005</v>
      </c>
    </row>
    <row r="568" spans="3:6" x14ac:dyDescent="0.25">
      <c r="C568">
        <f t="shared" si="27"/>
        <v>559</v>
      </c>
      <c r="D568" s="1">
        <f t="shared" si="28"/>
        <v>-200.42104408437149</v>
      </c>
      <c r="E568" s="1">
        <f t="shared" si="26"/>
        <v>-1259.2825594405151</v>
      </c>
      <c r="F568" s="1">
        <f>SUM($E$10:E568)</f>
        <v>-334513.34144766058</v>
      </c>
    </row>
    <row r="569" spans="3:6" x14ac:dyDescent="0.25">
      <c r="C569">
        <f t="shared" si="27"/>
        <v>560</v>
      </c>
      <c r="D569" s="1">
        <f t="shared" si="28"/>
        <v>-200.79803520280225</v>
      </c>
      <c r="E569" s="1">
        <f t="shared" si="26"/>
        <v>-1261.6512644967765</v>
      </c>
      <c r="F569" s="1">
        <f>SUM($E$10:E569)</f>
        <v>-335774.99271215737</v>
      </c>
    </row>
    <row r="570" spans="3:6" x14ac:dyDescent="0.25">
      <c r="C570">
        <f t="shared" si="27"/>
        <v>561</v>
      </c>
      <c r="D570" s="1">
        <f t="shared" si="28"/>
        <v>-201.17502632123302</v>
      </c>
      <c r="E570" s="1">
        <f t="shared" si="26"/>
        <v>-1264.0199695530378</v>
      </c>
      <c r="F570" s="1">
        <f>SUM($E$10:E570)</f>
        <v>-337039.01268171042</v>
      </c>
    </row>
    <row r="571" spans="3:6" x14ac:dyDescent="0.25">
      <c r="C571">
        <f t="shared" si="27"/>
        <v>562</v>
      </c>
      <c r="D571" s="1">
        <f t="shared" si="28"/>
        <v>-201.55201743966379</v>
      </c>
      <c r="E571" s="1">
        <f t="shared" si="26"/>
        <v>-1266.3886746092992</v>
      </c>
      <c r="F571" s="1">
        <f>SUM($E$10:E571)</f>
        <v>-338305.40135631972</v>
      </c>
    </row>
    <row r="572" spans="3:6" x14ac:dyDescent="0.25">
      <c r="C572">
        <f t="shared" si="27"/>
        <v>563</v>
      </c>
      <c r="D572" s="1">
        <f t="shared" si="28"/>
        <v>-201.92900855809455</v>
      </c>
      <c r="E572" s="1">
        <f t="shared" si="26"/>
        <v>-1268.7573796655606</v>
      </c>
      <c r="F572" s="1">
        <f>SUM($E$10:E572)</f>
        <v>-339574.15873598529</v>
      </c>
    </row>
    <row r="573" spans="3:6" x14ac:dyDescent="0.25">
      <c r="C573">
        <f t="shared" si="27"/>
        <v>564</v>
      </c>
      <c r="D573" s="1">
        <f t="shared" si="28"/>
        <v>-202.30599967652532</v>
      </c>
      <c r="E573" s="1">
        <f t="shared" si="26"/>
        <v>-1271.1260847218221</v>
      </c>
      <c r="F573" s="1">
        <f>SUM($E$10:E573)</f>
        <v>-340845.28482070711</v>
      </c>
    </row>
    <row r="574" spans="3:6" x14ac:dyDescent="0.25">
      <c r="C574">
        <f t="shared" si="27"/>
        <v>565</v>
      </c>
      <c r="D574" s="1">
        <f t="shared" si="28"/>
        <v>-202.68299079495608</v>
      </c>
      <c r="E574" s="1">
        <f t="shared" si="26"/>
        <v>-1273.4947897780835</v>
      </c>
      <c r="F574" s="1">
        <f>SUM($E$10:E574)</f>
        <v>-342118.77961048519</v>
      </c>
    </row>
    <row r="575" spans="3:6" x14ac:dyDescent="0.25">
      <c r="C575">
        <f t="shared" si="27"/>
        <v>566</v>
      </c>
      <c r="D575" s="1">
        <f t="shared" si="28"/>
        <v>-203.05998191338685</v>
      </c>
      <c r="E575" s="1">
        <f t="shared" si="26"/>
        <v>-1275.8634948343447</v>
      </c>
      <c r="F575" s="1">
        <f>SUM($E$10:E575)</f>
        <v>-343394.64310531953</v>
      </c>
    </row>
    <row r="576" spans="3:6" x14ac:dyDescent="0.25">
      <c r="C576">
        <f t="shared" si="27"/>
        <v>567</v>
      </c>
      <c r="D576" s="1">
        <f t="shared" si="28"/>
        <v>-203.43697303181762</v>
      </c>
      <c r="E576" s="1">
        <f t="shared" si="26"/>
        <v>-1278.2321998906061</v>
      </c>
      <c r="F576" s="1">
        <f>SUM($E$10:E576)</f>
        <v>-344672.87530521012</v>
      </c>
    </row>
    <row r="577" spans="3:6" x14ac:dyDescent="0.25">
      <c r="C577">
        <f t="shared" si="27"/>
        <v>568</v>
      </c>
      <c r="D577" s="1">
        <f t="shared" si="28"/>
        <v>-203.81396415024838</v>
      </c>
      <c r="E577" s="1">
        <f t="shared" si="26"/>
        <v>-1280.6009049468676</v>
      </c>
      <c r="F577" s="1">
        <f>SUM($E$10:E577)</f>
        <v>-345953.47621015698</v>
      </c>
    </row>
    <row r="578" spans="3:6" x14ac:dyDescent="0.25">
      <c r="C578">
        <f t="shared" si="27"/>
        <v>569</v>
      </c>
      <c r="D578" s="1">
        <f t="shared" si="28"/>
        <v>-204.19095526867915</v>
      </c>
      <c r="E578" s="1">
        <f t="shared" si="26"/>
        <v>-1282.969610003129</v>
      </c>
      <c r="F578" s="1">
        <f>SUM($E$10:E578)</f>
        <v>-347236.44582016009</v>
      </c>
    </row>
    <row r="579" spans="3:6" x14ac:dyDescent="0.25">
      <c r="C579">
        <f t="shared" si="27"/>
        <v>570</v>
      </c>
      <c r="D579" s="1">
        <f t="shared" si="28"/>
        <v>-204.56794638710991</v>
      </c>
      <c r="E579" s="1">
        <f t="shared" si="26"/>
        <v>-1285.3383150593904</v>
      </c>
      <c r="F579" s="1">
        <f>SUM($E$10:E579)</f>
        <v>-348521.78413521947</v>
      </c>
    </row>
    <row r="580" spans="3:6" x14ac:dyDescent="0.25">
      <c r="C580">
        <f t="shared" si="27"/>
        <v>571</v>
      </c>
      <c r="D580" s="1">
        <f t="shared" si="28"/>
        <v>-204.94493750554068</v>
      </c>
      <c r="E580" s="1">
        <f t="shared" si="26"/>
        <v>-1287.7070201156516</v>
      </c>
      <c r="F580" s="1">
        <f>SUM($E$10:E580)</f>
        <v>-349809.4911553351</v>
      </c>
    </row>
    <row r="581" spans="3:6" x14ac:dyDescent="0.25">
      <c r="C581">
        <f t="shared" si="27"/>
        <v>572</v>
      </c>
      <c r="D581" s="1">
        <f t="shared" si="28"/>
        <v>-205.32192862397144</v>
      </c>
      <c r="E581" s="1">
        <f t="shared" si="26"/>
        <v>-1290.0757251719131</v>
      </c>
      <c r="F581" s="1">
        <f>SUM($E$10:E581)</f>
        <v>-351099.56688050699</v>
      </c>
    </row>
    <row r="582" spans="3:6" x14ac:dyDescent="0.25">
      <c r="C582">
        <f t="shared" si="27"/>
        <v>573</v>
      </c>
      <c r="D582" s="1">
        <f t="shared" si="28"/>
        <v>-205.69891974240221</v>
      </c>
      <c r="E582" s="1">
        <f t="shared" si="26"/>
        <v>-1292.4444302281745</v>
      </c>
      <c r="F582" s="1">
        <f>SUM($E$10:E582)</f>
        <v>-352392.01131073514</v>
      </c>
    </row>
    <row r="583" spans="3:6" x14ac:dyDescent="0.25">
      <c r="C583">
        <f t="shared" si="27"/>
        <v>574</v>
      </c>
      <c r="D583" s="1">
        <f t="shared" si="28"/>
        <v>-206.07591086083298</v>
      </c>
      <c r="E583" s="1">
        <f t="shared" si="26"/>
        <v>-1294.8131352844359</v>
      </c>
      <c r="F583" s="1">
        <f>SUM($E$10:E583)</f>
        <v>-353686.8244460196</v>
      </c>
    </row>
    <row r="584" spans="3:6" x14ac:dyDescent="0.25">
      <c r="C584">
        <f t="shared" si="27"/>
        <v>575</v>
      </c>
      <c r="D584" s="1">
        <f t="shared" si="28"/>
        <v>-206.45290197926374</v>
      </c>
      <c r="E584" s="1">
        <f t="shared" si="26"/>
        <v>-1297.1818403406974</v>
      </c>
      <c r="F584" s="1">
        <f>SUM($E$10:E584)</f>
        <v>-354984.00628636032</v>
      </c>
    </row>
    <row r="585" spans="3:6" x14ac:dyDescent="0.25">
      <c r="C585">
        <f t="shared" si="27"/>
        <v>576</v>
      </c>
      <c r="D585" s="1">
        <f t="shared" si="28"/>
        <v>-206.82989309769451</v>
      </c>
      <c r="E585" s="1">
        <f t="shared" si="26"/>
        <v>-1299.5505453969586</v>
      </c>
      <c r="F585" s="1">
        <f>SUM($E$10:E585)</f>
        <v>-356283.55683175731</v>
      </c>
    </row>
    <row r="586" spans="3:6" x14ac:dyDescent="0.25">
      <c r="C586">
        <f t="shared" si="27"/>
        <v>577</v>
      </c>
      <c r="D586" s="1">
        <f t="shared" si="28"/>
        <v>-207.20688421612527</v>
      </c>
      <c r="E586" s="1">
        <f t="shared" si="26"/>
        <v>-1301.91925045322</v>
      </c>
      <c r="F586" s="1">
        <f>SUM($E$10:E586)</f>
        <v>-357585.47608221055</v>
      </c>
    </row>
    <row r="587" spans="3:6" x14ac:dyDescent="0.25">
      <c r="C587">
        <f t="shared" si="27"/>
        <v>578</v>
      </c>
      <c r="D587" s="1">
        <f t="shared" si="28"/>
        <v>-207.58387533455604</v>
      </c>
      <c r="E587" s="1">
        <f t="shared" ref="E587:E650" si="29">2*D587*PI()</f>
        <v>-1304.2879555094814</v>
      </c>
      <c r="F587" s="1">
        <f>SUM($E$10:E587)</f>
        <v>-358889.76403772004</v>
      </c>
    </row>
    <row r="588" spans="3:6" x14ac:dyDescent="0.25">
      <c r="C588">
        <f t="shared" si="27"/>
        <v>579</v>
      </c>
      <c r="D588" s="1">
        <f t="shared" si="28"/>
        <v>-207.96086645298681</v>
      </c>
      <c r="E588" s="1">
        <f t="shared" si="29"/>
        <v>-1306.6566605657429</v>
      </c>
      <c r="F588" s="1">
        <f>SUM($E$10:E588)</f>
        <v>-360196.4206982858</v>
      </c>
    </row>
    <row r="589" spans="3:6" x14ac:dyDescent="0.25">
      <c r="C589">
        <f t="shared" si="27"/>
        <v>580</v>
      </c>
      <c r="D589" s="1">
        <f t="shared" si="28"/>
        <v>-208.33785757141757</v>
      </c>
      <c r="E589" s="1">
        <f t="shared" si="29"/>
        <v>-1309.0253656220043</v>
      </c>
      <c r="F589" s="1">
        <f>SUM($E$10:E589)</f>
        <v>-361505.44606390782</v>
      </c>
    </row>
    <row r="590" spans="3:6" x14ac:dyDescent="0.25">
      <c r="C590">
        <f t="shared" si="27"/>
        <v>581</v>
      </c>
      <c r="D590" s="1">
        <f t="shared" si="28"/>
        <v>-208.71484868984834</v>
      </c>
      <c r="E590" s="1">
        <f t="shared" si="29"/>
        <v>-1311.3940706782655</v>
      </c>
      <c r="F590" s="1">
        <f>SUM($E$10:E590)</f>
        <v>-362816.84013458609</v>
      </c>
    </row>
    <row r="591" spans="3:6" x14ac:dyDescent="0.25">
      <c r="C591">
        <f t="shared" si="27"/>
        <v>582</v>
      </c>
      <c r="D591" s="1">
        <f t="shared" si="28"/>
        <v>-209.0918398082791</v>
      </c>
      <c r="E591" s="1">
        <f t="shared" si="29"/>
        <v>-1313.7627757345269</v>
      </c>
      <c r="F591" s="1">
        <f>SUM($E$10:E591)</f>
        <v>-364130.60291032062</v>
      </c>
    </row>
    <row r="592" spans="3:6" x14ac:dyDescent="0.25">
      <c r="C592">
        <f t="shared" si="27"/>
        <v>583</v>
      </c>
      <c r="D592" s="1">
        <f t="shared" si="28"/>
        <v>-209.46883092670987</v>
      </c>
      <c r="E592" s="1">
        <f t="shared" si="29"/>
        <v>-1316.1314807907884</v>
      </c>
      <c r="F592" s="1">
        <f>SUM($E$10:E592)</f>
        <v>-365446.73439111141</v>
      </c>
    </row>
    <row r="593" spans="3:6" x14ac:dyDescent="0.25">
      <c r="C593">
        <f t="shared" si="27"/>
        <v>584</v>
      </c>
      <c r="D593" s="1">
        <f t="shared" si="28"/>
        <v>-209.84582204514064</v>
      </c>
      <c r="E593" s="1">
        <f t="shared" si="29"/>
        <v>-1318.5001858470498</v>
      </c>
      <c r="F593" s="1">
        <f>SUM($E$10:E593)</f>
        <v>-366765.23457695846</v>
      </c>
    </row>
    <row r="594" spans="3:6" x14ac:dyDescent="0.25">
      <c r="C594">
        <f t="shared" si="27"/>
        <v>585</v>
      </c>
      <c r="D594" s="1">
        <f t="shared" si="28"/>
        <v>-210.2228131635714</v>
      </c>
      <c r="E594" s="1">
        <f t="shared" si="29"/>
        <v>-1320.8688909033112</v>
      </c>
      <c r="F594" s="1">
        <f>SUM($E$10:E594)</f>
        <v>-368086.10346786177</v>
      </c>
    </row>
    <row r="595" spans="3:6" x14ac:dyDescent="0.25">
      <c r="C595">
        <f t="shared" si="27"/>
        <v>586</v>
      </c>
      <c r="D595" s="1">
        <f t="shared" si="28"/>
        <v>-210.59980428200217</v>
      </c>
      <c r="E595" s="1">
        <f t="shared" si="29"/>
        <v>-1323.2375959595724</v>
      </c>
      <c r="F595" s="1">
        <f>SUM($E$10:E595)</f>
        <v>-369409.34106382134</v>
      </c>
    </row>
    <row r="596" spans="3:6" x14ac:dyDescent="0.25">
      <c r="C596">
        <f t="shared" si="27"/>
        <v>587</v>
      </c>
      <c r="D596" s="1">
        <f t="shared" si="28"/>
        <v>-210.97679540043293</v>
      </c>
      <c r="E596" s="1">
        <f t="shared" si="29"/>
        <v>-1325.6063010158339</v>
      </c>
      <c r="F596" s="1">
        <f>SUM($E$10:E596)</f>
        <v>-370734.94736483716</v>
      </c>
    </row>
    <row r="597" spans="3:6" x14ac:dyDescent="0.25">
      <c r="C597">
        <f t="shared" si="27"/>
        <v>588</v>
      </c>
      <c r="D597" s="1">
        <f t="shared" si="28"/>
        <v>-211.3537865188637</v>
      </c>
      <c r="E597" s="1">
        <f t="shared" si="29"/>
        <v>-1327.9750060720953</v>
      </c>
      <c r="F597" s="1">
        <f>SUM($E$10:E597)</f>
        <v>-372062.92237090925</v>
      </c>
    </row>
    <row r="598" spans="3:6" x14ac:dyDescent="0.25">
      <c r="C598">
        <f t="shared" si="27"/>
        <v>589</v>
      </c>
      <c r="D598" s="1">
        <f t="shared" si="28"/>
        <v>-211.73077763729447</v>
      </c>
      <c r="E598" s="1">
        <f t="shared" si="29"/>
        <v>-1330.3437111283567</v>
      </c>
      <c r="F598" s="1">
        <f>SUM($E$10:E598)</f>
        <v>-373393.26608203759</v>
      </c>
    </row>
    <row r="599" spans="3:6" x14ac:dyDescent="0.25">
      <c r="C599">
        <f t="shared" si="27"/>
        <v>590</v>
      </c>
      <c r="D599" s="1">
        <f t="shared" si="28"/>
        <v>-212.10776875572523</v>
      </c>
      <c r="E599" s="1">
        <f t="shared" si="29"/>
        <v>-1332.7124161846182</v>
      </c>
      <c r="F599" s="1">
        <f>SUM($E$10:E599)</f>
        <v>-374725.97849822219</v>
      </c>
    </row>
    <row r="600" spans="3:6" x14ac:dyDescent="0.25">
      <c r="C600">
        <f t="shared" si="27"/>
        <v>591</v>
      </c>
      <c r="D600" s="1">
        <f t="shared" si="28"/>
        <v>-212.484759874156</v>
      </c>
      <c r="E600" s="1">
        <f t="shared" si="29"/>
        <v>-1335.0811212408794</v>
      </c>
      <c r="F600" s="1">
        <f>SUM($E$10:E600)</f>
        <v>-376061.05961946305</v>
      </c>
    </row>
    <row r="601" spans="3:6" x14ac:dyDescent="0.25">
      <c r="C601">
        <f t="shared" si="27"/>
        <v>592</v>
      </c>
      <c r="D601" s="1">
        <f t="shared" si="28"/>
        <v>-212.86175099258676</v>
      </c>
      <c r="E601" s="1">
        <f t="shared" si="29"/>
        <v>-1337.4498262971408</v>
      </c>
      <c r="F601" s="1">
        <f>SUM($E$10:E601)</f>
        <v>-377398.50944576017</v>
      </c>
    </row>
    <row r="602" spans="3:6" x14ac:dyDescent="0.25">
      <c r="C602">
        <f t="shared" si="27"/>
        <v>593</v>
      </c>
      <c r="D602" s="1">
        <f t="shared" si="28"/>
        <v>-213.23874211101753</v>
      </c>
      <c r="E602" s="1">
        <f t="shared" si="29"/>
        <v>-1339.8185313534022</v>
      </c>
      <c r="F602" s="1">
        <f>SUM($E$10:E602)</f>
        <v>-378738.32797711354</v>
      </c>
    </row>
    <row r="603" spans="3:6" x14ac:dyDescent="0.25">
      <c r="C603">
        <f t="shared" si="27"/>
        <v>594</v>
      </c>
      <c r="D603" s="1">
        <f t="shared" si="28"/>
        <v>-213.6157332294483</v>
      </c>
      <c r="E603" s="1">
        <f t="shared" si="29"/>
        <v>-1342.1872364096637</v>
      </c>
      <c r="F603" s="1">
        <f>SUM($E$10:E603)</f>
        <v>-380080.51521352323</v>
      </c>
    </row>
    <row r="604" spans="3:6" x14ac:dyDescent="0.25">
      <c r="C604">
        <f t="shared" si="27"/>
        <v>595</v>
      </c>
      <c r="D604" s="1">
        <f t="shared" si="28"/>
        <v>-213.99272434787906</v>
      </c>
      <c r="E604" s="1">
        <f t="shared" si="29"/>
        <v>-1344.5559414659251</v>
      </c>
      <c r="F604" s="1">
        <f>SUM($E$10:E604)</f>
        <v>-381425.07115498919</v>
      </c>
    </row>
    <row r="605" spans="3:6" x14ac:dyDescent="0.25">
      <c r="C605">
        <f t="shared" si="27"/>
        <v>596</v>
      </c>
      <c r="D605" s="1">
        <f t="shared" si="28"/>
        <v>-214.36971546630983</v>
      </c>
      <c r="E605" s="1">
        <f t="shared" si="29"/>
        <v>-1346.9246465221863</v>
      </c>
      <c r="F605" s="1">
        <f>SUM($E$10:E605)</f>
        <v>-382771.9958015114</v>
      </c>
    </row>
    <row r="606" spans="3:6" x14ac:dyDescent="0.25">
      <c r="C606">
        <f t="shared" ref="C606:C669" si="30">C605+1</f>
        <v>597</v>
      </c>
      <c r="D606" s="1">
        <f t="shared" ref="D606:D669" si="31">D605-(PI()*$D$4/100)</f>
        <v>-214.74670658474059</v>
      </c>
      <c r="E606" s="1">
        <f t="shared" si="29"/>
        <v>-1349.2933515784478</v>
      </c>
      <c r="F606" s="1">
        <f>SUM($E$10:E606)</f>
        <v>-384121.28915308986</v>
      </c>
    </row>
    <row r="607" spans="3:6" x14ac:dyDescent="0.25">
      <c r="C607">
        <f t="shared" si="30"/>
        <v>598</v>
      </c>
      <c r="D607" s="1">
        <f t="shared" si="31"/>
        <v>-215.12369770317136</v>
      </c>
      <c r="E607" s="1">
        <f t="shared" si="29"/>
        <v>-1351.6620566347092</v>
      </c>
      <c r="F607" s="1">
        <f>SUM($E$10:E607)</f>
        <v>-385472.95120972459</v>
      </c>
    </row>
    <row r="608" spans="3:6" x14ac:dyDescent="0.25">
      <c r="C608">
        <f t="shared" si="30"/>
        <v>599</v>
      </c>
      <c r="D608" s="1">
        <f t="shared" si="31"/>
        <v>-215.50068882160213</v>
      </c>
      <c r="E608" s="1">
        <f t="shared" si="29"/>
        <v>-1354.0307616909706</v>
      </c>
      <c r="F608" s="1">
        <f>SUM($E$10:E608)</f>
        <v>-386826.98197141557</v>
      </c>
    </row>
    <row r="609" spans="3:6" x14ac:dyDescent="0.25">
      <c r="C609">
        <f t="shared" si="30"/>
        <v>600</v>
      </c>
      <c r="D609" s="1">
        <f t="shared" si="31"/>
        <v>-215.87767994003289</v>
      </c>
      <c r="E609" s="1">
        <f t="shared" si="29"/>
        <v>-1356.3994667472321</v>
      </c>
      <c r="F609" s="1">
        <f>SUM($E$10:E609)</f>
        <v>-388183.38143816282</v>
      </c>
    </row>
    <row r="610" spans="3:6" x14ac:dyDescent="0.25">
      <c r="C610">
        <f t="shared" si="30"/>
        <v>601</v>
      </c>
      <c r="D610" s="1">
        <f t="shared" si="31"/>
        <v>-216.25467105846366</v>
      </c>
      <c r="E610" s="1">
        <f t="shared" si="29"/>
        <v>-1358.7681718034933</v>
      </c>
      <c r="F610" s="1">
        <f>SUM($E$10:E610)</f>
        <v>-389542.14960996632</v>
      </c>
    </row>
    <row r="611" spans="3:6" x14ac:dyDescent="0.25">
      <c r="C611">
        <f t="shared" si="30"/>
        <v>602</v>
      </c>
      <c r="D611" s="1">
        <f t="shared" si="31"/>
        <v>-216.63166217689442</v>
      </c>
      <c r="E611" s="1">
        <f t="shared" si="29"/>
        <v>-1361.1368768597547</v>
      </c>
      <c r="F611" s="1">
        <f>SUM($E$10:E611)</f>
        <v>-390903.28648682608</v>
      </c>
    </row>
    <row r="612" spans="3:6" x14ac:dyDescent="0.25">
      <c r="C612">
        <f t="shared" si="30"/>
        <v>603</v>
      </c>
      <c r="D612" s="1">
        <f t="shared" si="31"/>
        <v>-217.00865329532519</v>
      </c>
      <c r="E612" s="1">
        <f t="shared" si="29"/>
        <v>-1363.5055819160161</v>
      </c>
      <c r="F612" s="1">
        <f>SUM($E$10:E612)</f>
        <v>-392266.7920687421</v>
      </c>
    </row>
    <row r="613" spans="3:6" x14ac:dyDescent="0.25">
      <c r="C613">
        <f t="shared" si="30"/>
        <v>604</v>
      </c>
      <c r="D613" s="1">
        <f t="shared" si="31"/>
        <v>-217.38564441375595</v>
      </c>
      <c r="E613" s="1">
        <f t="shared" si="29"/>
        <v>-1365.8742869722776</v>
      </c>
      <c r="F613" s="1">
        <f>SUM($E$10:E613)</f>
        <v>-393632.66635571438</v>
      </c>
    </row>
    <row r="614" spans="3:6" x14ac:dyDescent="0.25">
      <c r="C614">
        <f t="shared" si="30"/>
        <v>605</v>
      </c>
      <c r="D614" s="1">
        <f t="shared" si="31"/>
        <v>-217.76263553218672</v>
      </c>
      <c r="E614" s="1">
        <f t="shared" si="29"/>
        <v>-1368.242992028539</v>
      </c>
      <c r="F614" s="1">
        <f>SUM($E$10:E614)</f>
        <v>-395000.90934774291</v>
      </c>
    </row>
    <row r="615" spans="3:6" x14ac:dyDescent="0.25">
      <c r="C615">
        <f t="shared" si="30"/>
        <v>606</v>
      </c>
      <c r="D615" s="1">
        <f t="shared" si="31"/>
        <v>-218.13962665061749</v>
      </c>
      <c r="E615" s="1">
        <f t="shared" si="29"/>
        <v>-1370.6116970848002</v>
      </c>
      <c r="F615" s="1">
        <f>SUM($E$10:E615)</f>
        <v>-396371.52104482771</v>
      </c>
    </row>
    <row r="616" spans="3:6" x14ac:dyDescent="0.25">
      <c r="C616">
        <f t="shared" si="30"/>
        <v>607</v>
      </c>
      <c r="D616" s="1">
        <f t="shared" si="31"/>
        <v>-218.51661776904825</v>
      </c>
      <c r="E616" s="1">
        <f t="shared" si="29"/>
        <v>-1372.9804021410616</v>
      </c>
      <c r="F616" s="1">
        <f>SUM($E$10:E616)</f>
        <v>-397744.50144696876</v>
      </c>
    </row>
    <row r="617" spans="3:6" x14ac:dyDescent="0.25">
      <c r="C617">
        <f t="shared" si="30"/>
        <v>608</v>
      </c>
      <c r="D617" s="1">
        <f t="shared" si="31"/>
        <v>-218.89360888747902</v>
      </c>
      <c r="E617" s="1">
        <f t="shared" si="29"/>
        <v>-1375.3491071973231</v>
      </c>
      <c r="F617" s="1">
        <f>SUM($E$10:E617)</f>
        <v>-399119.85055416607</v>
      </c>
    </row>
    <row r="618" spans="3:6" x14ac:dyDescent="0.25">
      <c r="C618">
        <f t="shared" si="30"/>
        <v>609</v>
      </c>
      <c r="D618" s="1">
        <f t="shared" si="31"/>
        <v>-219.27060000590978</v>
      </c>
      <c r="E618" s="1">
        <f t="shared" si="29"/>
        <v>-1377.7178122535845</v>
      </c>
      <c r="F618" s="1">
        <f>SUM($E$10:E618)</f>
        <v>-400497.56836641964</v>
      </c>
    </row>
    <row r="619" spans="3:6" x14ac:dyDescent="0.25">
      <c r="C619">
        <f t="shared" si="30"/>
        <v>610</v>
      </c>
      <c r="D619" s="1">
        <f t="shared" si="31"/>
        <v>-219.64759112434055</v>
      </c>
      <c r="E619" s="1">
        <f t="shared" si="29"/>
        <v>-1380.0865173098459</v>
      </c>
      <c r="F619" s="1">
        <f>SUM($E$10:E619)</f>
        <v>-401877.65488372947</v>
      </c>
    </row>
    <row r="620" spans="3:6" x14ac:dyDescent="0.25">
      <c r="C620">
        <f t="shared" si="30"/>
        <v>611</v>
      </c>
      <c r="D620" s="1">
        <f t="shared" si="31"/>
        <v>-220.02458224277132</v>
      </c>
      <c r="E620" s="1">
        <f t="shared" si="29"/>
        <v>-1382.4552223661071</v>
      </c>
      <c r="F620" s="1">
        <f>SUM($E$10:E620)</f>
        <v>-403260.11010609556</v>
      </c>
    </row>
    <row r="621" spans="3:6" x14ac:dyDescent="0.25">
      <c r="C621">
        <f t="shared" si="30"/>
        <v>612</v>
      </c>
      <c r="D621" s="1">
        <f t="shared" si="31"/>
        <v>-220.40157336120208</v>
      </c>
      <c r="E621" s="1">
        <f t="shared" si="29"/>
        <v>-1384.8239274223686</v>
      </c>
      <c r="F621" s="1">
        <f>SUM($E$10:E621)</f>
        <v>-404644.9340335179</v>
      </c>
    </row>
    <row r="622" spans="3:6" x14ac:dyDescent="0.25">
      <c r="C622">
        <f t="shared" si="30"/>
        <v>613</v>
      </c>
      <c r="D622" s="1">
        <f t="shared" si="31"/>
        <v>-220.77856447963285</v>
      </c>
      <c r="E622" s="1">
        <f t="shared" si="29"/>
        <v>-1387.19263247863</v>
      </c>
      <c r="F622" s="1">
        <f>SUM($E$10:E622)</f>
        <v>-406032.1266659965</v>
      </c>
    </row>
    <row r="623" spans="3:6" x14ac:dyDescent="0.25">
      <c r="C623">
        <f t="shared" si="30"/>
        <v>614</v>
      </c>
      <c r="D623" s="1">
        <f t="shared" si="31"/>
        <v>-221.15555559806361</v>
      </c>
      <c r="E623" s="1">
        <f t="shared" si="29"/>
        <v>-1389.5613375348914</v>
      </c>
      <c r="F623" s="1">
        <f>SUM($E$10:E623)</f>
        <v>-407421.68800353142</v>
      </c>
    </row>
    <row r="624" spans="3:6" x14ac:dyDescent="0.25">
      <c r="C624">
        <f t="shared" si="30"/>
        <v>615</v>
      </c>
      <c r="D624" s="1">
        <f t="shared" si="31"/>
        <v>-221.53254671649438</v>
      </c>
      <c r="E624" s="1">
        <f t="shared" si="29"/>
        <v>-1391.9300425911529</v>
      </c>
      <c r="F624" s="1">
        <f>SUM($E$10:E624)</f>
        <v>-408813.6180461226</v>
      </c>
    </row>
    <row r="625" spans="3:6" x14ac:dyDescent="0.25">
      <c r="C625">
        <f t="shared" si="30"/>
        <v>616</v>
      </c>
      <c r="D625" s="1">
        <f t="shared" si="31"/>
        <v>-221.90953783492515</v>
      </c>
      <c r="E625" s="1">
        <f t="shared" si="29"/>
        <v>-1394.2987476474141</v>
      </c>
      <c r="F625" s="1">
        <f>SUM($E$10:E625)</f>
        <v>-410207.91679377004</v>
      </c>
    </row>
    <row r="626" spans="3:6" x14ac:dyDescent="0.25">
      <c r="C626">
        <f t="shared" si="30"/>
        <v>617</v>
      </c>
      <c r="D626" s="1">
        <f t="shared" si="31"/>
        <v>-222.28652895335591</v>
      </c>
      <c r="E626" s="1">
        <f t="shared" si="29"/>
        <v>-1396.6674527036755</v>
      </c>
      <c r="F626" s="1">
        <f>SUM($E$10:E626)</f>
        <v>-411604.58424647374</v>
      </c>
    </row>
    <row r="627" spans="3:6" x14ac:dyDescent="0.25">
      <c r="C627">
        <f t="shared" si="30"/>
        <v>618</v>
      </c>
      <c r="D627" s="1">
        <f t="shared" si="31"/>
        <v>-222.66352007178668</v>
      </c>
      <c r="E627" s="1">
        <f t="shared" si="29"/>
        <v>-1399.0361577599369</v>
      </c>
      <c r="F627" s="1">
        <f>SUM($E$10:E627)</f>
        <v>-413003.62040423369</v>
      </c>
    </row>
    <row r="628" spans="3:6" x14ac:dyDescent="0.25">
      <c r="C628">
        <f t="shared" si="30"/>
        <v>619</v>
      </c>
      <c r="D628" s="1">
        <f t="shared" si="31"/>
        <v>-223.04051119021744</v>
      </c>
      <c r="E628" s="1">
        <f t="shared" si="29"/>
        <v>-1401.4048628161984</v>
      </c>
      <c r="F628" s="1">
        <f>SUM($E$10:E628)</f>
        <v>-414405.0252670499</v>
      </c>
    </row>
    <row r="629" spans="3:6" x14ac:dyDescent="0.25">
      <c r="C629">
        <f t="shared" si="30"/>
        <v>620</v>
      </c>
      <c r="D629" s="1">
        <f t="shared" si="31"/>
        <v>-223.41750230864821</v>
      </c>
      <c r="E629" s="1">
        <f t="shared" si="29"/>
        <v>-1403.7735678724598</v>
      </c>
      <c r="F629" s="1">
        <f>SUM($E$10:E629)</f>
        <v>-415808.79883492237</v>
      </c>
    </row>
    <row r="630" spans="3:6" x14ac:dyDescent="0.25">
      <c r="C630">
        <f t="shared" si="30"/>
        <v>621</v>
      </c>
      <c r="D630" s="1">
        <f t="shared" si="31"/>
        <v>-223.79449342707898</v>
      </c>
      <c r="E630" s="1">
        <f t="shared" si="29"/>
        <v>-1406.142272928721</v>
      </c>
      <c r="F630" s="1">
        <f>SUM($E$10:E630)</f>
        <v>-417214.9411078511</v>
      </c>
    </row>
    <row r="631" spans="3:6" x14ac:dyDescent="0.25">
      <c r="C631">
        <f t="shared" si="30"/>
        <v>622</v>
      </c>
      <c r="D631" s="1">
        <f t="shared" si="31"/>
        <v>-224.17148454550974</v>
      </c>
      <c r="E631" s="1">
        <f t="shared" si="29"/>
        <v>-1408.5109779849824</v>
      </c>
      <c r="F631" s="1">
        <f>SUM($E$10:E631)</f>
        <v>-418623.45208583609</v>
      </c>
    </row>
    <row r="632" spans="3:6" x14ac:dyDescent="0.25">
      <c r="C632">
        <f t="shared" si="30"/>
        <v>623</v>
      </c>
      <c r="D632" s="1">
        <f t="shared" si="31"/>
        <v>-224.54847566394051</v>
      </c>
      <c r="E632" s="1">
        <f t="shared" si="29"/>
        <v>-1410.8796830412439</v>
      </c>
      <c r="F632" s="1">
        <f>SUM($E$10:E632)</f>
        <v>-420034.33176887734</v>
      </c>
    </row>
    <row r="633" spans="3:6" x14ac:dyDescent="0.25">
      <c r="C633">
        <f t="shared" si="30"/>
        <v>624</v>
      </c>
      <c r="D633" s="1">
        <f t="shared" si="31"/>
        <v>-224.92546678237127</v>
      </c>
      <c r="E633" s="1">
        <f t="shared" si="29"/>
        <v>-1413.2483880975053</v>
      </c>
      <c r="F633" s="1">
        <f>SUM($E$10:E633)</f>
        <v>-421447.58015697484</v>
      </c>
    </row>
    <row r="634" spans="3:6" x14ac:dyDescent="0.25">
      <c r="C634">
        <f t="shared" si="30"/>
        <v>625</v>
      </c>
      <c r="D634" s="1">
        <f t="shared" si="31"/>
        <v>-225.30245790080204</v>
      </c>
      <c r="E634" s="1">
        <f t="shared" si="29"/>
        <v>-1415.6170931537667</v>
      </c>
      <c r="F634" s="1">
        <f>SUM($E$10:E634)</f>
        <v>-422863.19725012861</v>
      </c>
    </row>
    <row r="635" spans="3:6" x14ac:dyDescent="0.25">
      <c r="C635">
        <f t="shared" si="30"/>
        <v>626</v>
      </c>
      <c r="D635" s="1">
        <f t="shared" si="31"/>
        <v>-225.67944901923281</v>
      </c>
      <c r="E635" s="1">
        <f t="shared" si="29"/>
        <v>-1417.985798210028</v>
      </c>
      <c r="F635" s="1">
        <f>SUM($E$10:E635)</f>
        <v>-424281.18304833863</v>
      </c>
    </row>
    <row r="636" spans="3:6" x14ac:dyDescent="0.25">
      <c r="C636">
        <f t="shared" si="30"/>
        <v>627</v>
      </c>
      <c r="D636" s="1">
        <f t="shared" si="31"/>
        <v>-226.05644013766357</v>
      </c>
      <c r="E636" s="1">
        <f t="shared" si="29"/>
        <v>-1420.3545032662894</v>
      </c>
      <c r="F636" s="1">
        <f>SUM($E$10:E636)</f>
        <v>-425701.53755160491</v>
      </c>
    </row>
    <row r="637" spans="3:6" x14ac:dyDescent="0.25">
      <c r="C637">
        <f t="shared" si="30"/>
        <v>628</v>
      </c>
      <c r="D637" s="1">
        <f t="shared" si="31"/>
        <v>-226.43343125609434</v>
      </c>
      <c r="E637" s="1">
        <f t="shared" si="29"/>
        <v>-1422.7232083225508</v>
      </c>
      <c r="F637" s="1">
        <f>SUM($E$10:E637)</f>
        <v>-427124.26075992745</v>
      </c>
    </row>
    <row r="638" spans="3:6" x14ac:dyDescent="0.25">
      <c r="C638">
        <f t="shared" si="30"/>
        <v>629</v>
      </c>
      <c r="D638" s="1">
        <f t="shared" si="31"/>
        <v>-226.8104223745251</v>
      </c>
      <c r="E638" s="1">
        <f t="shared" si="29"/>
        <v>-1425.0919133788123</v>
      </c>
      <c r="F638" s="1">
        <f>SUM($E$10:E638)</f>
        <v>-428549.35267330625</v>
      </c>
    </row>
    <row r="639" spans="3:6" x14ac:dyDescent="0.25">
      <c r="C639">
        <f t="shared" si="30"/>
        <v>630</v>
      </c>
      <c r="D639" s="1">
        <f t="shared" si="31"/>
        <v>-227.18741349295587</v>
      </c>
      <c r="E639" s="1">
        <f t="shared" si="29"/>
        <v>-1427.4606184350737</v>
      </c>
      <c r="F639" s="1">
        <f>SUM($E$10:E639)</f>
        <v>-429976.8132917413</v>
      </c>
    </row>
    <row r="640" spans="3:6" x14ac:dyDescent="0.25">
      <c r="C640">
        <f t="shared" si="30"/>
        <v>631</v>
      </c>
      <c r="D640" s="1">
        <f t="shared" si="31"/>
        <v>-227.56440461138664</v>
      </c>
      <c r="E640" s="1">
        <f t="shared" si="29"/>
        <v>-1429.8293234913349</v>
      </c>
      <c r="F640" s="1">
        <f>SUM($E$10:E640)</f>
        <v>-431406.64261523262</v>
      </c>
    </row>
    <row r="641" spans="3:6" x14ac:dyDescent="0.25">
      <c r="C641">
        <f t="shared" si="30"/>
        <v>632</v>
      </c>
      <c r="D641" s="1">
        <f t="shared" si="31"/>
        <v>-227.9413957298174</v>
      </c>
      <c r="E641" s="1">
        <f t="shared" si="29"/>
        <v>-1432.1980285475963</v>
      </c>
      <c r="F641" s="1">
        <f>SUM($E$10:E641)</f>
        <v>-432838.84064378019</v>
      </c>
    </row>
    <row r="642" spans="3:6" x14ac:dyDescent="0.25">
      <c r="C642">
        <f t="shared" si="30"/>
        <v>633</v>
      </c>
      <c r="D642" s="1">
        <f t="shared" si="31"/>
        <v>-228.31838684824817</v>
      </c>
      <c r="E642" s="1">
        <f t="shared" si="29"/>
        <v>-1434.5667336038578</v>
      </c>
      <c r="F642" s="1">
        <f>SUM($E$10:E642)</f>
        <v>-434273.40737738402</v>
      </c>
    </row>
    <row r="643" spans="3:6" x14ac:dyDescent="0.25">
      <c r="C643">
        <f t="shared" si="30"/>
        <v>634</v>
      </c>
      <c r="D643" s="1">
        <f t="shared" si="31"/>
        <v>-228.69537796667893</v>
      </c>
      <c r="E643" s="1">
        <f t="shared" si="29"/>
        <v>-1436.9354386601192</v>
      </c>
      <c r="F643" s="1">
        <f>SUM($E$10:E643)</f>
        <v>-435710.34281604417</v>
      </c>
    </row>
    <row r="644" spans="3:6" x14ac:dyDescent="0.25">
      <c r="C644">
        <f t="shared" si="30"/>
        <v>635</v>
      </c>
      <c r="D644" s="1">
        <f t="shared" si="31"/>
        <v>-229.0723690851097</v>
      </c>
      <c r="E644" s="1">
        <f t="shared" si="29"/>
        <v>-1439.3041437163806</v>
      </c>
      <c r="F644" s="1">
        <f>SUM($E$10:E644)</f>
        <v>-437149.64695976058</v>
      </c>
    </row>
    <row r="645" spans="3:6" x14ac:dyDescent="0.25">
      <c r="C645">
        <f t="shared" si="30"/>
        <v>636</v>
      </c>
      <c r="D645" s="1">
        <f t="shared" si="31"/>
        <v>-229.44936020354046</v>
      </c>
      <c r="E645" s="1">
        <f t="shared" si="29"/>
        <v>-1441.6728487726418</v>
      </c>
      <c r="F645" s="1">
        <f>SUM($E$10:E645)</f>
        <v>-438591.31980853324</v>
      </c>
    </row>
    <row r="646" spans="3:6" x14ac:dyDescent="0.25">
      <c r="C646">
        <f t="shared" si="30"/>
        <v>637</v>
      </c>
      <c r="D646" s="1">
        <f t="shared" si="31"/>
        <v>-229.82635132197123</v>
      </c>
      <c r="E646" s="1">
        <f t="shared" si="29"/>
        <v>-1444.0415538289033</v>
      </c>
      <c r="F646" s="1">
        <f>SUM($E$10:E646)</f>
        <v>-440035.36136236216</v>
      </c>
    </row>
    <row r="647" spans="3:6" x14ac:dyDescent="0.25">
      <c r="C647">
        <f t="shared" si="30"/>
        <v>638</v>
      </c>
      <c r="D647" s="1">
        <f t="shared" si="31"/>
        <v>-230.203342440402</v>
      </c>
      <c r="E647" s="1">
        <f t="shared" si="29"/>
        <v>-1446.4102588851647</v>
      </c>
      <c r="F647" s="1">
        <f>SUM($E$10:E647)</f>
        <v>-441481.77162124735</v>
      </c>
    </row>
    <row r="648" spans="3:6" x14ac:dyDescent="0.25">
      <c r="C648">
        <f t="shared" si="30"/>
        <v>639</v>
      </c>
      <c r="D648" s="1">
        <f t="shared" si="31"/>
        <v>-230.58033355883276</v>
      </c>
      <c r="E648" s="1">
        <f t="shared" si="29"/>
        <v>-1448.7789639414261</v>
      </c>
      <c r="F648" s="1">
        <f>SUM($E$10:E648)</f>
        <v>-442930.55058518879</v>
      </c>
    </row>
    <row r="649" spans="3:6" x14ac:dyDescent="0.25">
      <c r="C649">
        <f t="shared" si="30"/>
        <v>640</v>
      </c>
      <c r="D649" s="1">
        <f t="shared" si="31"/>
        <v>-230.95732467726353</v>
      </c>
      <c r="E649" s="1">
        <f t="shared" si="29"/>
        <v>-1451.1476689976876</v>
      </c>
      <c r="F649" s="1">
        <f>SUM($E$10:E649)</f>
        <v>-444381.69825418649</v>
      </c>
    </row>
    <row r="650" spans="3:6" x14ac:dyDescent="0.25">
      <c r="C650">
        <f t="shared" si="30"/>
        <v>641</v>
      </c>
      <c r="D650" s="1">
        <f t="shared" si="31"/>
        <v>-231.33431579569429</v>
      </c>
      <c r="E650" s="1">
        <f t="shared" si="29"/>
        <v>-1453.5163740539488</v>
      </c>
      <c r="F650" s="1">
        <f>SUM($E$10:E650)</f>
        <v>-445835.21462824044</v>
      </c>
    </row>
    <row r="651" spans="3:6" x14ac:dyDescent="0.25">
      <c r="C651">
        <f t="shared" si="30"/>
        <v>642</v>
      </c>
      <c r="D651" s="1">
        <f t="shared" si="31"/>
        <v>-231.71130691412506</v>
      </c>
      <c r="E651" s="1">
        <f t="shared" ref="E651:E714" si="32">2*D651*PI()</f>
        <v>-1455.8850791102102</v>
      </c>
      <c r="F651" s="1">
        <f>SUM($E$10:E651)</f>
        <v>-447291.09970735066</v>
      </c>
    </row>
    <row r="652" spans="3:6" x14ac:dyDescent="0.25">
      <c r="C652">
        <f t="shared" si="30"/>
        <v>643</v>
      </c>
      <c r="D652" s="1">
        <f t="shared" si="31"/>
        <v>-232.08829803255583</v>
      </c>
      <c r="E652" s="1">
        <f t="shared" si="32"/>
        <v>-1458.2537841664716</v>
      </c>
      <c r="F652" s="1">
        <f>SUM($E$10:E652)</f>
        <v>-448749.35349151713</v>
      </c>
    </row>
    <row r="653" spans="3:6" x14ac:dyDescent="0.25">
      <c r="C653">
        <f t="shared" si="30"/>
        <v>644</v>
      </c>
      <c r="D653" s="1">
        <f t="shared" si="31"/>
        <v>-232.46528915098659</v>
      </c>
      <c r="E653" s="1">
        <f t="shared" si="32"/>
        <v>-1460.6224892227331</v>
      </c>
      <c r="F653" s="1">
        <f>SUM($E$10:E653)</f>
        <v>-450209.97598073987</v>
      </c>
    </row>
    <row r="654" spans="3:6" x14ac:dyDescent="0.25">
      <c r="C654">
        <f t="shared" si="30"/>
        <v>645</v>
      </c>
      <c r="D654" s="1">
        <f t="shared" si="31"/>
        <v>-232.84228026941736</v>
      </c>
      <c r="E654" s="1">
        <f t="shared" si="32"/>
        <v>-1462.9911942789945</v>
      </c>
      <c r="F654" s="1">
        <f>SUM($E$10:E654)</f>
        <v>-451672.96717501886</v>
      </c>
    </row>
    <row r="655" spans="3:6" x14ac:dyDescent="0.25">
      <c r="C655">
        <f t="shared" si="30"/>
        <v>646</v>
      </c>
      <c r="D655" s="1">
        <f t="shared" si="31"/>
        <v>-233.21927138784812</v>
      </c>
      <c r="E655" s="1">
        <f t="shared" si="32"/>
        <v>-1465.3598993352557</v>
      </c>
      <c r="F655" s="1">
        <f>SUM($E$10:E655)</f>
        <v>-453138.32707435411</v>
      </c>
    </row>
    <row r="656" spans="3:6" x14ac:dyDescent="0.25">
      <c r="C656">
        <f t="shared" si="30"/>
        <v>647</v>
      </c>
      <c r="D656" s="1">
        <f t="shared" si="31"/>
        <v>-233.59626250627889</v>
      </c>
      <c r="E656" s="1">
        <f t="shared" si="32"/>
        <v>-1467.7286043915171</v>
      </c>
      <c r="F656" s="1">
        <f>SUM($E$10:E656)</f>
        <v>-454606.05567874562</v>
      </c>
    </row>
    <row r="657" spans="3:6" x14ac:dyDescent="0.25">
      <c r="C657">
        <f t="shared" si="30"/>
        <v>648</v>
      </c>
      <c r="D657" s="1">
        <f t="shared" si="31"/>
        <v>-233.97325362470966</v>
      </c>
      <c r="E657" s="1">
        <f t="shared" si="32"/>
        <v>-1470.0973094477786</v>
      </c>
      <c r="F657" s="1">
        <f>SUM($E$10:E657)</f>
        <v>-456076.15298819338</v>
      </c>
    </row>
    <row r="658" spans="3:6" x14ac:dyDescent="0.25">
      <c r="C658">
        <f t="shared" si="30"/>
        <v>649</v>
      </c>
      <c r="D658" s="1">
        <f t="shared" si="31"/>
        <v>-234.35024474314042</v>
      </c>
      <c r="E658" s="1">
        <f t="shared" si="32"/>
        <v>-1472.46601450404</v>
      </c>
      <c r="F658" s="1">
        <f>SUM($E$10:E658)</f>
        <v>-457548.61900269741</v>
      </c>
    </row>
    <row r="659" spans="3:6" x14ac:dyDescent="0.25">
      <c r="C659">
        <f t="shared" si="30"/>
        <v>650</v>
      </c>
      <c r="D659" s="1">
        <f t="shared" si="31"/>
        <v>-234.72723586157119</v>
      </c>
      <c r="E659" s="1">
        <f t="shared" si="32"/>
        <v>-1474.8347195603014</v>
      </c>
      <c r="F659" s="1">
        <f>SUM($E$10:E659)</f>
        <v>-459023.45372225769</v>
      </c>
    </row>
    <row r="660" spans="3:6" x14ac:dyDescent="0.25">
      <c r="C660">
        <f t="shared" si="30"/>
        <v>651</v>
      </c>
      <c r="D660" s="1">
        <f t="shared" si="31"/>
        <v>-235.10422698000195</v>
      </c>
      <c r="E660" s="1">
        <f t="shared" si="32"/>
        <v>-1477.2034246165626</v>
      </c>
      <c r="F660" s="1">
        <f>SUM($E$10:E660)</f>
        <v>-460500.65714687423</v>
      </c>
    </row>
    <row r="661" spans="3:6" x14ac:dyDescent="0.25">
      <c r="C661">
        <f t="shared" si="30"/>
        <v>652</v>
      </c>
      <c r="D661" s="1">
        <f t="shared" si="31"/>
        <v>-235.48121809843272</v>
      </c>
      <c r="E661" s="1">
        <f t="shared" si="32"/>
        <v>-1479.5721296728241</v>
      </c>
      <c r="F661" s="1">
        <f>SUM($E$10:E661)</f>
        <v>-461980.22927654703</v>
      </c>
    </row>
    <row r="662" spans="3:6" x14ac:dyDescent="0.25">
      <c r="C662">
        <f t="shared" si="30"/>
        <v>653</v>
      </c>
      <c r="D662" s="1">
        <f t="shared" si="31"/>
        <v>-235.85820921686349</v>
      </c>
      <c r="E662" s="1">
        <f t="shared" si="32"/>
        <v>-1481.9408347290855</v>
      </c>
      <c r="F662" s="1">
        <f>SUM($E$10:E662)</f>
        <v>-463462.17011127609</v>
      </c>
    </row>
    <row r="663" spans="3:6" x14ac:dyDescent="0.25">
      <c r="C663">
        <f t="shared" si="30"/>
        <v>654</v>
      </c>
      <c r="D663" s="1">
        <f t="shared" si="31"/>
        <v>-236.23520033529425</v>
      </c>
      <c r="E663" s="1">
        <f t="shared" si="32"/>
        <v>-1484.3095397853469</v>
      </c>
      <c r="F663" s="1">
        <f>SUM($E$10:E663)</f>
        <v>-464946.47965106147</v>
      </c>
    </row>
    <row r="664" spans="3:6" x14ac:dyDescent="0.25">
      <c r="C664">
        <f t="shared" si="30"/>
        <v>655</v>
      </c>
      <c r="D664" s="1">
        <f t="shared" si="31"/>
        <v>-236.61219145372502</v>
      </c>
      <c r="E664" s="1">
        <f t="shared" si="32"/>
        <v>-1486.6782448416084</v>
      </c>
      <c r="F664" s="1">
        <f>SUM($E$10:E664)</f>
        <v>-466433.1578959031</v>
      </c>
    </row>
    <row r="665" spans="3:6" x14ac:dyDescent="0.25">
      <c r="C665">
        <f t="shared" si="30"/>
        <v>656</v>
      </c>
      <c r="D665" s="1">
        <f t="shared" si="31"/>
        <v>-236.98918257215578</v>
      </c>
      <c r="E665" s="1">
        <f t="shared" si="32"/>
        <v>-1489.0469498978696</v>
      </c>
      <c r="F665" s="1">
        <f>SUM($E$10:E665)</f>
        <v>-467922.204845801</v>
      </c>
    </row>
    <row r="666" spans="3:6" x14ac:dyDescent="0.25">
      <c r="C666">
        <f t="shared" si="30"/>
        <v>657</v>
      </c>
      <c r="D666" s="1">
        <f t="shared" si="31"/>
        <v>-237.36617369058655</v>
      </c>
      <c r="E666" s="1">
        <f t="shared" si="32"/>
        <v>-1491.415654954131</v>
      </c>
      <c r="F666" s="1">
        <f>SUM($E$10:E666)</f>
        <v>-469413.62050075515</v>
      </c>
    </row>
    <row r="667" spans="3:6" x14ac:dyDescent="0.25">
      <c r="C667">
        <f t="shared" si="30"/>
        <v>658</v>
      </c>
      <c r="D667" s="1">
        <f t="shared" si="31"/>
        <v>-237.74316480901732</v>
      </c>
      <c r="E667" s="1">
        <f t="shared" si="32"/>
        <v>-1493.7843600103924</v>
      </c>
      <c r="F667" s="1">
        <f>SUM($E$10:E667)</f>
        <v>-470907.40486076556</v>
      </c>
    </row>
    <row r="668" spans="3:6" x14ac:dyDescent="0.25">
      <c r="C668">
        <f t="shared" si="30"/>
        <v>659</v>
      </c>
      <c r="D668" s="1">
        <f t="shared" si="31"/>
        <v>-238.12015592744808</v>
      </c>
      <c r="E668" s="1">
        <f t="shared" si="32"/>
        <v>-1496.1530650666539</v>
      </c>
      <c r="F668" s="1">
        <f>SUM($E$10:E668)</f>
        <v>-472403.55792583223</v>
      </c>
    </row>
    <row r="669" spans="3:6" x14ac:dyDescent="0.25">
      <c r="C669">
        <f t="shared" si="30"/>
        <v>660</v>
      </c>
      <c r="D669" s="1">
        <f t="shared" si="31"/>
        <v>-238.49714704587885</v>
      </c>
      <c r="E669" s="1">
        <f t="shared" si="32"/>
        <v>-1498.5217701229153</v>
      </c>
      <c r="F669" s="1">
        <f>SUM($E$10:E669)</f>
        <v>-473902.07969595515</v>
      </c>
    </row>
    <row r="670" spans="3:6" x14ac:dyDescent="0.25">
      <c r="C670">
        <f t="shared" ref="C670:C733" si="33">C669+1</f>
        <v>661</v>
      </c>
      <c r="D670" s="1">
        <f t="shared" ref="D670:D733" si="34">D669-(PI()*$D$4/100)</f>
        <v>-238.87413816430961</v>
      </c>
      <c r="E670" s="1">
        <f t="shared" si="32"/>
        <v>-1500.8904751791765</v>
      </c>
      <c r="F670" s="1">
        <f>SUM($E$10:E670)</f>
        <v>-475402.97017113434</v>
      </c>
    </row>
    <row r="671" spans="3:6" x14ac:dyDescent="0.25">
      <c r="C671">
        <f t="shared" si="33"/>
        <v>662</v>
      </c>
      <c r="D671" s="1">
        <f t="shared" si="34"/>
        <v>-239.25112928274038</v>
      </c>
      <c r="E671" s="1">
        <f t="shared" si="32"/>
        <v>-1503.259180235438</v>
      </c>
      <c r="F671" s="1">
        <f>SUM($E$10:E671)</f>
        <v>-476906.22935136978</v>
      </c>
    </row>
    <row r="672" spans="3:6" x14ac:dyDescent="0.25">
      <c r="C672">
        <f t="shared" si="33"/>
        <v>663</v>
      </c>
      <c r="D672" s="1">
        <f t="shared" si="34"/>
        <v>-239.62812040117115</v>
      </c>
      <c r="E672" s="1">
        <f t="shared" si="32"/>
        <v>-1505.6278852916994</v>
      </c>
      <c r="F672" s="1">
        <f>SUM($E$10:E672)</f>
        <v>-478411.85723666148</v>
      </c>
    </row>
    <row r="673" spans="3:6" x14ac:dyDescent="0.25">
      <c r="C673">
        <f t="shared" si="33"/>
        <v>664</v>
      </c>
      <c r="D673" s="1">
        <f t="shared" si="34"/>
        <v>-240.00511151960191</v>
      </c>
      <c r="E673" s="1">
        <f t="shared" si="32"/>
        <v>-1507.9965903479608</v>
      </c>
      <c r="F673" s="1">
        <f>SUM($E$10:E673)</f>
        <v>-479919.85382700944</v>
      </c>
    </row>
    <row r="674" spans="3:6" x14ac:dyDescent="0.25">
      <c r="C674">
        <f t="shared" si="33"/>
        <v>665</v>
      </c>
      <c r="D674" s="1">
        <f t="shared" si="34"/>
        <v>-240.38210263803268</v>
      </c>
      <c r="E674" s="1">
        <f t="shared" si="32"/>
        <v>-1510.3652954042223</v>
      </c>
      <c r="F674" s="1">
        <f>SUM($E$10:E674)</f>
        <v>-481430.21912241366</v>
      </c>
    </row>
    <row r="675" spans="3:6" x14ac:dyDescent="0.25">
      <c r="C675">
        <f t="shared" si="33"/>
        <v>666</v>
      </c>
      <c r="D675" s="1">
        <f t="shared" si="34"/>
        <v>-240.75909375646344</v>
      </c>
      <c r="E675" s="1">
        <f t="shared" si="32"/>
        <v>-1512.7340004604835</v>
      </c>
      <c r="F675" s="1">
        <f>SUM($E$10:E675)</f>
        <v>-482942.95312287414</v>
      </c>
    </row>
    <row r="676" spans="3:6" x14ac:dyDescent="0.25">
      <c r="C676">
        <f t="shared" si="33"/>
        <v>667</v>
      </c>
      <c r="D676" s="1">
        <f t="shared" si="34"/>
        <v>-241.13608487489421</v>
      </c>
      <c r="E676" s="1">
        <f t="shared" si="32"/>
        <v>-1515.1027055167449</v>
      </c>
      <c r="F676" s="1">
        <f>SUM($E$10:E676)</f>
        <v>-484458.05582839088</v>
      </c>
    </row>
    <row r="677" spans="3:6" x14ac:dyDescent="0.25">
      <c r="C677">
        <f t="shared" si="33"/>
        <v>668</v>
      </c>
      <c r="D677" s="1">
        <f t="shared" si="34"/>
        <v>-241.51307599332497</v>
      </c>
      <c r="E677" s="1">
        <f t="shared" si="32"/>
        <v>-1517.4714105730063</v>
      </c>
      <c r="F677" s="1">
        <f>SUM($E$10:E677)</f>
        <v>-485975.52723896387</v>
      </c>
    </row>
    <row r="678" spans="3:6" x14ac:dyDescent="0.25">
      <c r="C678">
        <f t="shared" si="33"/>
        <v>669</v>
      </c>
      <c r="D678" s="1">
        <f t="shared" si="34"/>
        <v>-241.89006711175574</v>
      </c>
      <c r="E678" s="1">
        <f t="shared" si="32"/>
        <v>-1519.8401156292678</v>
      </c>
      <c r="F678" s="1">
        <f>SUM($E$10:E678)</f>
        <v>-487495.36735459312</v>
      </c>
    </row>
    <row r="679" spans="3:6" x14ac:dyDescent="0.25">
      <c r="C679">
        <f t="shared" si="33"/>
        <v>670</v>
      </c>
      <c r="D679" s="1">
        <f t="shared" si="34"/>
        <v>-242.26705823018651</v>
      </c>
      <c r="E679" s="1">
        <f t="shared" si="32"/>
        <v>-1522.2088206855292</v>
      </c>
      <c r="F679" s="1">
        <f>SUM($E$10:E679)</f>
        <v>-489017.57617527863</v>
      </c>
    </row>
    <row r="680" spans="3:6" x14ac:dyDescent="0.25">
      <c r="C680">
        <f t="shared" si="33"/>
        <v>671</v>
      </c>
      <c r="D680" s="1">
        <f t="shared" si="34"/>
        <v>-242.64404934861727</v>
      </c>
      <c r="E680" s="1">
        <f t="shared" si="32"/>
        <v>-1524.5775257417904</v>
      </c>
      <c r="F680" s="1">
        <f>SUM($E$10:E680)</f>
        <v>-490542.1537010204</v>
      </c>
    </row>
    <row r="681" spans="3:6" x14ac:dyDescent="0.25">
      <c r="C681">
        <f t="shared" si="33"/>
        <v>672</v>
      </c>
      <c r="D681" s="1">
        <f t="shared" si="34"/>
        <v>-243.02104046704804</v>
      </c>
      <c r="E681" s="1">
        <f t="shared" si="32"/>
        <v>-1526.9462307980518</v>
      </c>
      <c r="F681" s="1">
        <f>SUM($E$10:E681)</f>
        <v>-492069.09993181843</v>
      </c>
    </row>
    <row r="682" spans="3:6" x14ac:dyDescent="0.25">
      <c r="C682">
        <f t="shared" si="33"/>
        <v>673</v>
      </c>
      <c r="D682" s="1">
        <f t="shared" si="34"/>
        <v>-243.3980315854788</v>
      </c>
      <c r="E682" s="1">
        <f t="shared" si="32"/>
        <v>-1529.3149358543133</v>
      </c>
      <c r="F682" s="1">
        <f>SUM($E$10:E682)</f>
        <v>-493598.41486767272</v>
      </c>
    </row>
    <row r="683" spans="3:6" x14ac:dyDescent="0.25">
      <c r="C683">
        <f t="shared" si="33"/>
        <v>674</v>
      </c>
      <c r="D683" s="1">
        <f t="shared" si="34"/>
        <v>-243.77502270390957</v>
      </c>
      <c r="E683" s="1">
        <f t="shared" si="32"/>
        <v>-1531.6836409105747</v>
      </c>
      <c r="F683" s="1">
        <f>SUM($E$10:E683)</f>
        <v>-495130.09850858332</v>
      </c>
    </row>
    <row r="684" spans="3:6" x14ac:dyDescent="0.25">
      <c r="C684">
        <f t="shared" si="33"/>
        <v>675</v>
      </c>
      <c r="D684" s="1">
        <f t="shared" si="34"/>
        <v>-244.15201382234034</v>
      </c>
      <c r="E684" s="1">
        <f t="shared" si="32"/>
        <v>-1534.0523459668361</v>
      </c>
      <c r="F684" s="1">
        <f>SUM($E$10:E684)</f>
        <v>-496664.15085455019</v>
      </c>
    </row>
    <row r="685" spans="3:6" x14ac:dyDescent="0.25">
      <c r="C685">
        <f t="shared" si="33"/>
        <v>676</v>
      </c>
      <c r="D685" s="1">
        <f t="shared" si="34"/>
        <v>-244.5290049407711</v>
      </c>
      <c r="E685" s="1">
        <f t="shared" si="32"/>
        <v>-1536.4210510230973</v>
      </c>
      <c r="F685" s="1">
        <f>SUM($E$10:E685)</f>
        <v>-498200.57190557331</v>
      </c>
    </row>
    <row r="686" spans="3:6" x14ac:dyDescent="0.25">
      <c r="C686">
        <f t="shared" si="33"/>
        <v>677</v>
      </c>
      <c r="D686" s="1">
        <f t="shared" si="34"/>
        <v>-244.90599605920187</v>
      </c>
      <c r="E686" s="1">
        <f t="shared" si="32"/>
        <v>-1538.7897560793588</v>
      </c>
      <c r="F686" s="1">
        <f>SUM($E$10:E686)</f>
        <v>-499739.36166165269</v>
      </c>
    </row>
    <row r="687" spans="3:6" x14ac:dyDescent="0.25">
      <c r="C687">
        <f t="shared" si="33"/>
        <v>678</v>
      </c>
      <c r="D687" s="1">
        <f t="shared" si="34"/>
        <v>-245.28298717763263</v>
      </c>
      <c r="E687" s="1">
        <f t="shared" si="32"/>
        <v>-1541.1584611356202</v>
      </c>
      <c r="F687" s="1">
        <f>SUM($E$10:E687)</f>
        <v>-501280.52012278832</v>
      </c>
    </row>
    <row r="688" spans="3:6" x14ac:dyDescent="0.25">
      <c r="C688">
        <f t="shared" si="33"/>
        <v>679</v>
      </c>
      <c r="D688" s="1">
        <f t="shared" si="34"/>
        <v>-245.6599782960634</v>
      </c>
      <c r="E688" s="1">
        <f t="shared" si="32"/>
        <v>-1543.5271661918816</v>
      </c>
      <c r="F688" s="1">
        <f>SUM($E$10:E688)</f>
        <v>-502824.04728898022</v>
      </c>
    </row>
    <row r="689" spans="3:6" x14ac:dyDescent="0.25">
      <c r="C689">
        <f t="shared" si="33"/>
        <v>680</v>
      </c>
      <c r="D689" s="1">
        <f t="shared" si="34"/>
        <v>-246.03696941449417</v>
      </c>
      <c r="E689" s="1">
        <f t="shared" si="32"/>
        <v>-1545.8958712481431</v>
      </c>
      <c r="F689" s="1">
        <f>SUM($E$10:E689)</f>
        <v>-504369.94316022837</v>
      </c>
    </row>
    <row r="690" spans="3:6" x14ac:dyDescent="0.25">
      <c r="C690">
        <f t="shared" si="33"/>
        <v>681</v>
      </c>
      <c r="D690" s="1">
        <f t="shared" si="34"/>
        <v>-246.41396053292493</v>
      </c>
      <c r="E690" s="1">
        <f t="shared" si="32"/>
        <v>-1548.2645763044043</v>
      </c>
      <c r="F690" s="1">
        <f>SUM($E$10:E690)</f>
        <v>-505918.20773653279</v>
      </c>
    </row>
    <row r="691" spans="3:6" x14ac:dyDescent="0.25">
      <c r="C691">
        <f t="shared" si="33"/>
        <v>682</v>
      </c>
      <c r="D691" s="1">
        <f t="shared" si="34"/>
        <v>-246.7909516513557</v>
      </c>
      <c r="E691" s="1">
        <f t="shared" si="32"/>
        <v>-1550.6332813606657</v>
      </c>
      <c r="F691" s="1">
        <f>SUM($E$10:E691)</f>
        <v>-507468.84101789346</v>
      </c>
    </row>
    <row r="692" spans="3:6" x14ac:dyDescent="0.25">
      <c r="C692">
        <f t="shared" si="33"/>
        <v>683</v>
      </c>
      <c r="D692" s="1">
        <f t="shared" si="34"/>
        <v>-247.16794276978646</v>
      </c>
      <c r="E692" s="1">
        <f t="shared" si="32"/>
        <v>-1553.0019864169271</v>
      </c>
      <c r="F692" s="1">
        <f>SUM($E$10:E692)</f>
        <v>-509021.84300431039</v>
      </c>
    </row>
    <row r="693" spans="3:6" x14ac:dyDescent="0.25">
      <c r="C693">
        <f t="shared" si="33"/>
        <v>684</v>
      </c>
      <c r="D693" s="1">
        <f t="shared" si="34"/>
        <v>-247.54493388821723</v>
      </c>
      <c r="E693" s="1">
        <f t="shared" si="32"/>
        <v>-1555.3706914731886</v>
      </c>
      <c r="F693" s="1">
        <f>SUM($E$10:E693)</f>
        <v>-510577.21369578358</v>
      </c>
    </row>
    <row r="694" spans="3:6" x14ac:dyDescent="0.25">
      <c r="C694">
        <f t="shared" si="33"/>
        <v>685</v>
      </c>
      <c r="D694" s="1">
        <f t="shared" si="34"/>
        <v>-247.921925006648</v>
      </c>
      <c r="E694" s="1">
        <f t="shared" si="32"/>
        <v>-1557.73939652945</v>
      </c>
      <c r="F694" s="1">
        <f>SUM($E$10:E694)</f>
        <v>-512134.95309231302</v>
      </c>
    </row>
    <row r="695" spans="3:6" x14ac:dyDescent="0.25">
      <c r="C695">
        <f t="shared" si="33"/>
        <v>686</v>
      </c>
      <c r="D695" s="1">
        <f t="shared" si="34"/>
        <v>-248.29891612507876</v>
      </c>
      <c r="E695" s="1">
        <f t="shared" si="32"/>
        <v>-1560.1081015857112</v>
      </c>
      <c r="F695" s="1">
        <f>SUM($E$10:E695)</f>
        <v>-513695.06119389873</v>
      </c>
    </row>
    <row r="696" spans="3:6" x14ac:dyDescent="0.25">
      <c r="C696">
        <f t="shared" si="33"/>
        <v>687</v>
      </c>
      <c r="D696" s="1">
        <f t="shared" si="34"/>
        <v>-248.67590724350953</v>
      </c>
      <c r="E696" s="1">
        <f t="shared" si="32"/>
        <v>-1562.4768066419726</v>
      </c>
      <c r="F696" s="1">
        <f>SUM($E$10:E696)</f>
        <v>-515257.53800054069</v>
      </c>
    </row>
    <row r="697" spans="3:6" x14ac:dyDescent="0.25">
      <c r="C697">
        <f t="shared" si="33"/>
        <v>688</v>
      </c>
      <c r="D697" s="1">
        <f t="shared" si="34"/>
        <v>-249.05289836194029</v>
      </c>
      <c r="E697" s="1">
        <f t="shared" si="32"/>
        <v>-1564.8455116982341</v>
      </c>
      <c r="F697" s="1">
        <f>SUM($E$10:E697)</f>
        <v>-516822.38351223891</v>
      </c>
    </row>
    <row r="698" spans="3:6" x14ac:dyDescent="0.25">
      <c r="C698">
        <f t="shared" si="33"/>
        <v>689</v>
      </c>
      <c r="D698" s="1">
        <f t="shared" si="34"/>
        <v>-249.42988948037106</v>
      </c>
      <c r="E698" s="1">
        <f t="shared" si="32"/>
        <v>-1567.2142167544955</v>
      </c>
      <c r="F698" s="1">
        <f>SUM($E$10:E698)</f>
        <v>-518389.59772899339</v>
      </c>
    </row>
    <row r="699" spans="3:6" x14ac:dyDescent="0.25">
      <c r="C699">
        <f t="shared" si="33"/>
        <v>690</v>
      </c>
      <c r="D699" s="1">
        <f t="shared" si="34"/>
        <v>-249.80688059880183</v>
      </c>
      <c r="E699" s="1">
        <f t="shared" si="32"/>
        <v>-1569.5829218107569</v>
      </c>
      <c r="F699" s="1">
        <f>SUM($E$10:E699)</f>
        <v>-519959.18065080413</v>
      </c>
    </row>
    <row r="700" spans="3:6" x14ac:dyDescent="0.25">
      <c r="C700">
        <f t="shared" si="33"/>
        <v>691</v>
      </c>
      <c r="D700" s="1">
        <f t="shared" si="34"/>
        <v>-250.18387171723259</v>
      </c>
      <c r="E700" s="1">
        <f t="shared" si="32"/>
        <v>-1571.9516268670181</v>
      </c>
      <c r="F700" s="1">
        <f>SUM($E$10:E700)</f>
        <v>-521531.13227767113</v>
      </c>
    </row>
    <row r="701" spans="3:6" x14ac:dyDescent="0.25">
      <c r="C701">
        <f t="shared" si="33"/>
        <v>692</v>
      </c>
      <c r="D701" s="1">
        <f t="shared" si="34"/>
        <v>-250.56086283566336</v>
      </c>
      <c r="E701" s="1">
        <f t="shared" si="32"/>
        <v>-1574.3203319232796</v>
      </c>
      <c r="F701" s="1">
        <f>SUM($E$10:E701)</f>
        <v>-523105.45260959439</v>
      </c>
    </row>
    <row r="702" spans="3:6" x14ac:dyDescent="0.25">
      <c r="C702">
        <f t="shared" si="33"/>
        <v>693</v>
      </c>
      <c r="D702" s="1">
        <f t="shared" si="34"/>
        <v>-250.93785395409412</v>
      </c>
      <c r="E702" s="1">
        <f t="shared" si="32"/>
        <v>-1576.689036979541</v>
      </c>
      <c r="F702" s="1">
        <f>SUM($E$10:E702)</f>
        <v>-524682.1416465739</v>
      </c>
    </row>
    <row r="703" spans="3:6" x14ac:dyDescent="0.25">
      <c r="C703">
        <f t="shared" si="33"/>
        <v>694</v>
      </c>
      <c r="D703" s="1">
        <f t="shared" si="34"/>
        <v>-251.31484507252489</v>
      </c>
      <c r="E703" s="1">
        <f t="shared" si="32"/>
        <v>-1579.0577420358024</v>
      </c>
      <c r="F703" s="1">
        <f>SUM($E$10:E703)</f>
        <v>-526261.19938860973</v>
      </c>
    </row>
    <row r="704" spans="3:6" x14ac:dyDescent="0.25">
      <c r="C704">
        <f t="shared" si="33"/>
        <v>695</v>
      </c>
      <c r="D704" s="1">
        <f t="shared" si="34"/>
        <v>-251.69183619095566</v>
      </c>
      <c r="E704" s="1">
        <f t="shared" si="32"/>
        <v>-1581.4264470920639</v>
      </c>
      <c r="F704" s="1">
        <f>SUM($E$10:E704)</f>
        <v>-527842.62583570182</v>
      </c>
    </row>
    <row r="705" spans="3:6" x14ac:dyDescent="0.25">
      <c r="C705">
        <f t="shared" si="33"/>
        <v>696</v>
      </c>
      <c r="D705" s="1">
        <f t="shared" si="34"/>
        <v>-252.06882730938642</v>
      </c>
      <c r="E705" s="1">
        <f t="shared" si="32"/>
        <v>-1583.7951521483251</v>
      </c>
      <c r="F705" s="1">
        <f>SUM($E$10:E705)</f>
        <v>-529426.42098785017</v>
      </c>
    </row>
    <row r="706" spans="3:6" x14ac:dyDescent="0.25">
      <c r="C706">
        <f t="shared" si="33"/>
        <v>697</v>
      </c>
      <c r="D706" s="1">
        <f t="shared" si="34"/>
        <v>-252.44581842781719</v>
      </c>
      <c r="E706" s="1">
        <f t="shared" si="32"/>
        <v>-1586.1638572045865</v>
      </c>
      <c r="F706" s="1">
        <f>SUM($E$10:E706)</f>
        <v>-531012.58484505478</v>
      </c>
    </row>
    <row r="707" spans="3:6" x14ac:dyDescent="0.25">
      <c r="C707">
        <f t="shared" si="33"/>
        <v>698</v>
      </c>
      <c r="D707" s="1">
        <f t="shared" si="34"/>
        <v>-252.82280954624795</v>
      </c>
      <c r="E707" s="1">
        <f t="shared" si="32"/>
        <v>-1588.532562260848</v>
      </c>
      <c r="F707" s="1">
        <f>SUM($E$10:E707)</f>
        <v>-532601.11740731564</v>
      </c>
    </row>
    <row r="708" spans="3:6" x14ac:dyDescent="0.25">
      <c r="C708">
        <f t="shared" si="33"/>
        <v>699</v>
      </c>
      <c r="D708" s="1">
        <f t="shared" si="34"/>
        <v>-253.19980066467872</v>
      </c>
      <c r="E708" s="1">
        <f t="shared" si="32"/>
        <v>-1590.9012673171094</v>
      </c>
      <c r="F708" s="1">
        <f>SUM($E$10:E708)</f>
        <v>-534192.01867463277</v>
      </c>
    </row>
    <row r="709" spans="3:6" x14ac:dyDescent="0.25">
      <c r="C709">
        <f t="shared" si="33"/>
        <v>700</v>
      </c>
      <c r="D709" s="1">
        <f t="shared" si="34"/>
        <v>-253.57679178310948</v>
      </c>
      <c r="E709" s="1">
        <f t="shared" si="32"/>
        <v>-1593.2699723733708</v>
      </c>
      <c r="F709" s="1">
        <f>SUM($E$10:E709)</f>
        <v>-535785.28864700615</v>
      </c>
    </row>
    <row r="710" spans="3:6" x14ac:dyDescent="0.25">
      <c r="C710">
        <f t="shared" si="33"/>
        <v>701</v>
      </c>
      <c r="D710" s="1">
        <f t="shared" si="34"/>
        <v>-253.95378290154025</v>
      </c>
      <c r="E710" s="1">
        <f t="shared" si="32"/>
        <v>-1595.638677429632</v>
      </c>
      <c r="F710" s="1">
        <f>SUM($E$10:E710)</f>
        <v>-537380.92732443579</v>
      </c>
    </row>
    <row r="711" spans="3:6" x14ac:dyDescent="0.25">
      <c r="C711">
        <f t="shared" si="33"/>
        <v>702</v>
      </c>
      <c r="D711" s="1">
        <f t="shared" si="34"/>
        <v>-254.33077401997102</v>
      </c>
      <c r="E711" s="1">
        <f t="shared" si="32"/>
        <v>-1598.0073824858935</v>
      </c>
      <c r="F711" s="1">
        <f>SUM($E$10:E711)</f>
        <v>-538978.93470692169</v>
      </c>
    </row>
    <row r="712" spans="3:6" x14ac:dyDescent="0.25">
      <c r="C712">
        <f t="shared" si="33"/>
        <v>703</v>
      </c>
      <c r="D712" s="1">
        <f t="shared" si="34"/>
        <v>-254.70776513840178</v>
      </c>
      <c r="E712" s="1">
        <f t="shared" si="32"/>
        <v>-1600.3760875421549</v>
      </c>
      <c r="F712" s="1">
        <f>SUM($E$10:E712)</f>
        <v>-540579.31079446385</v>
      </c>
    </row>
    <row r="713" spans="3:6" x14ac:dyDescent="0.25">
      <c r="C713">
        <f t="shared" si="33"/>
        <v>704</v>
      </c>
      <c r="D713" s="1">
        <f t="shared" si="34"/>
        <v>-255.08475625683255</v>
      </c>
      <c r="E713" s="1">
        <f t="shared" si="32"/>
        <v>-1602.7447925984163</v>
      </c>
      <c r="F713" s="1">
        <f>SUM($E$10:E713)</f>
        <v>-542182.05558706226</v>
      </c>
    </row>
    <row r="714" spans="3:6" x14ac:dyDescent="0.25">
      <c r="C714">
        <f t="shared" si="33"/>
        <v>705</v>
      </c>
      <c r="D714" s="1">
        <f t="shared" si="34"/>
        <v>-255.46174737526331</v>
      </c>
      <c r="E714" s="1">
        <f t="shared" si="32"/>
        <v>-1605.1134976546778</v>
      </c>
      <c r="F714" s="1">
        <f>SUM($E$10:E714)</f>
        <v>-543787.16908471694</v>
      </c>
    </row>
    <row r="715" spans="3:6" x14ac:dyDescent="0.25">
      <c r="C715">
        <f t="shared" si="33"/>
        <v>706</v>
      </c>
      <c r="D715" s="1">
        <f t="shared" si="34"/>
        <v>-255.83873849369408</v>
      </c>
      <c r="E715" s="1">
        <f t="shared" ref="E715:E778" si="35">2*D715*PI()</f>
        <v>-1607.482202710939</v>
      </c>
      <c r="F715" s="1">
        <f>SUM($E$10:E715)</f>
        <v>-545394.65128742787</v>
      </c>
    </row>
    <row r="716" spans="3:6" x14ac:dyDescent="0.25">
      <c r="C716">
        <f t="shared" si="33"/>
        <v>707</v>
      </c>
      <c r="D716" s="1">
        <f t="shared" si="34"/>
        <v>-256.21572961212485</v>
      </c>
      <c r="E716" s="1">
        <f t="shared" si="35"/>
        <v>-1609.8509077672004</v>
      </c>
      <c r="F716" s="1">
        <f>SUM($E$10:E716)</f>
        <v>-547004.50219519506</v>
      </c>
    </row>
    <row r="717" spans="3:6" x14ac:dyDescent="0.25">
      <c r="C717">
        <f t="shared" si="33"/>
        <v>708</v>
      </c>
      <c r="D717" s="1">
        <f t="shared" si="34"/>
        <v>-256.59272073055564</v>
      </c>
      <c r="E717" s="1">
        <f t="shared" si="35"/>
        <v>-1612.2196128234621</v>
      </c>
      <c r="F717" s="1">
        <f>SUM($E$10:E717)</f>
        <v>-548616.72180801851</v>
      </c>
    </row>
    <row r="718" spans="3:6" x14ac:dyDescent="0.25">
      <c r="C718">
        <f t="shared" si="33"/>
        <v>709</v>
      </c>
      <c r="D718" s="1">
        <f t="shared" si="34"/>
        <v>-256.96971184898644</v>
      </c>
      <c r="E718" s="1">
        <f t="shared" si="35"/>
        <v>-1614.5883178797235</v>
      </c>
      <c r="F718" s="1">
        <f>SUM($E$10:E718)</f>
        <v>-550231.31012589822</v>
      </c>
    </row>
    <row r="719" spans="3:6" x14ac:dyDescent="0.25">
      <c r="C719">
        <f t="shared" si="33"/>
        <v>710</v>
      </c>
      <c r="D719" s="1">
        <f t="shared" si="34"/>
        <v>-257.34670296741723</v>
      </c>
      <c r="E719" s="1">
        <f t="shared" si="35"/>
        <v>-1616.9570229359852</v>
      </c>
      <c r="F719" s="1">
        <f>SUM($E$10:E719)</f>
        <v>-551848.26714883419</v>
      </c>
    </row>
    <row r="720" spans="3:6" x14ac:dyDescent="0.25">
      <c r="C720">
        <f t="shared" si="33"/>
        <v>711</v>
      </c>
      <c r="D720" s="1">
        <f t="shared" si="34"/>
        <v>-257.72369408584802</v>
      </c>
      <c r="E720" s="1">
        <f t="shared" si="35"/>
        <v>-1619.3257279922468</v>
      </c>
      <c r="F720" s="1">
        <f>SUM($E$10:E720)</f>
        <v>-553467.59287682641</v>
      </c>
    </row>
    <row r="721" spans="3:6" x14ac:dyDescent="0.25">
      <c r="C721">
        <f t="shared" si="33"/>
        <v>712</v>
      </c>
      <c r="D721" s="1">
        <f t="shared" si="34"/>
        <v>-258.10068520427882</v>
      </c>
      <c r="E721" s="1">
        <f t="shared" si="35"/>
        <v>-1621.6944330485082</v>
      </c>
      <c r="F721" s="1">
        <f>SUM($E$10:E721)</f>
        <v>-555089.2873098749</v>
      </c>
    </row>
    <row r="722" spans="3:6" x14ac:dyDescent="0.25">
      <c r="C722">
        <f t="shared" si="33"/>
        <v>713</v>
      </c>
      <c r="D722" s="1">
        <f t="shared" si="34"/>
        <v>-258.47767632270961</v>
      </c>
      <c r="E722" s="1">
        <f t="shared" si="35"/>
        <v>-1624.0631381047699</v>
      </c>
      <c r="F722" s="1">
        <f>SUM($E$10:E722)</f>
        <v>-556713.35044797964</v>
      </c>
    </row>
    <row r="723" spans="3:6" x14ac:dyDescent="0.25">
      <c r="C723">
        <f t="shared" si="33"/>
        <v>714</v>
      </c>
      <c r="D723" s="1">
        <f t="shared" si="34"/>
        <v>-258.85466744114041</v>
      </c>
      <c r="E723" s="1">
        <f t="shared" si="35"/>
        <v>-1626.4318431610313</v>
      </c>
      <c r="F723" s="1">
        <f>SUM($E$10:E723)</f>
        <v>-558339.78229114064</v>
      </c>
    </row>
    <row r="724" spans="3:6" x14ac:dyDescent="0.25">
      <c r="C724">
        <f t="shared" si="33"/>
        <v>715</v>
      </c>
      <c r="D724" s="1">
        <f t="shared" si="34"/>
        <v>-259.2316585595712</v>
      </c>
      <c r="E724" s="1">
        <f t="shared" si="35"/>
        <v>-1628.800548217293</v>
      </c>
      <c r="F724" s="1">
        <f>SUM($E$10:E724)</f>
        <v>-559968.5828393579</v>
      </c>
    </row>
    <row r="725" spans="3:6" x14ac:dyDescent="0.25">
      <c r="C725">
        <f t="shared" si="33"/>
        <v>716</v>
      </c>
      <c r="D725" s="1">
        <f t="shared" si="34"/>
        <v>-259.608649678002</v>
      </c>
      <c r="E725" s="1">
        <f t="shared" si="35"/>
        <v>-1631.1692532735547</v>
      </c>
      <c r="F725" s="1">
        <f>SUM($E$10:E725)</f>
        <v>-561599.75209263142</v>
      </c>
    </row>
    <row r="726" spans="3:6" x14ac:dyDescent="0.25">
      <c r="C726">
        <f t="shared" si="33"/>
        <v>717</v>
      </c>
      <c r="D726" s="1">
        <f t="shared" si="34"/>
        <v>-259.98564079643279</v>
      </c>
      <c r="E726" s="1">
        <f t="shared" si="35"/>
        <v>-1633.5379583298161</v>
      </c>
      <c r="F726" s="1">
        <f>SUM($E$10:E726)</f>
        <v>-563233.29005096119</v>
      </c>
    </row>
    <row r="727" spans="3:6" x14ac:dyDescent="0.25">
      <c r="C727">
        <f t="shared" si="33"/>
        <v>718</v>
      </c>
      <c r="D727" s="1">
        <f t="shared" si="34"/>
        <v>-260.36263191486358</v>
      </c>
      <c r="E727" s="1">
        <f t="shared" si="35"/>
        <v>-1635.9066633860778</v>
      </c>
      <c r="F727" s="1">
        <f>SUM($E$10:E727)</f>
        <v>-564869.19671434723</v>
      </c>
    </row>
    <row r="728" spans="3:6" x14ac:dyDescent="0.25">
      <c r="C728">
        <f t="shared" si="33"/>
        <v>719</v>
      </c>
      <c r="D728" s="1">
        <f t="shared" si="34"/>
        <v>-260.73962303329438</v>
      </c>
      <c r="E728" s="1">
        <f t="shared" si="35"/>
        <v>-1638.2753684423392</v>
      </c>
      <c r="F728" s="1">
        <f>SUM($E$10:E728)</f>
        <v>-566507.47208278952</v>
      </c>
    </row>
    <row r="729" spans="3:6" x14ac:dyDescent="0.25">
      <c r="C729">
        <f t="shared" si="33"/>
        <v>720</v>
      </c>
      <c r="D729" s="1">
        <f t="shared" si="34"/>
        <v>-261.11661415172517</v>
      </c>
      <c r="E729" s="1">
        <f t="shared" si="35"/>
        <v>-1640.6440734986008</v>
      </c>
      <c r="F729" s="1">
        <f>SUM($E$10:E729)</f>
        <v>-568148.11615628807</v>
      </c>
    </row>
    <row r="730" spans="3:6" x14ac:dyDescent="0.25">
      <c r="C730">
        <f t="shared" si="33"/>
        <v>721</v>
      </c>
      <c r="D730" s="1">
        <f t="shared" si="34"/>
        <v>-261.49360527015597</v>
      </c>
      <c r="E730" s="1">
        <f t="shared" si="35"/>
        <v>-1643.0127785548623</v>
      </c>
      <c r="F730" s="1">
        <f>SUM($E$10:E730)</f>
        <v>-569791.12893484288</v>
      </c>
    </row>
    <row r="731" spans="3:6" x14ac:dyDescent="0.25">
      <c r="C731">
        <f t="shared" si="33"/>
        <v>722</v>
      </c>
      <c r="D731" s="1">
        <f t="shared" si="34"/>
        <v>-261.87059638858676</v>
      </c>
      <c r="E731" s="1">
        <f t="shared" si="35"/>
        <v>-1645.3814836111239</v>
      </c>
      <c r="F731" s="1">
        <f>SUM($E$10:E731)</f>
        <v>-571436.51041845395</v>
      </c>
    </row>
    <row r="732" spans="3:6" x14ac:dyDescent="0.25">
      <c r="C732">
        <f t="shared" si="33"/>
        <v>723</v>
      </c>
      <c r="D732" s="1">
        <f t="shared" si="34"/>
        <v>-262.24758750701756</v>
      </c>
      <c r="E732" s="1">
        <f t="shared" si="35"/>
        <v>-1647.7501886673856</v>
      </c>
      <c r="F732" s="1">
        <f>SUM($E$10:E732)</f>
        <v>-573084.2606071214</v>
      </c>
    </row>
    <row r="733" spans="3:6" x14ac:dyDescent="0.25">
      <c r="C733">
        <f t="shared" si="33"/>
        <v>724</v>
      </c>
      <c r="D733" s="1">
        <f t="shared" si="34"/>
        <v>-262.62457862544835</v>
      </c>
      <c r="E733" s="1">
        <f t="shared" si="35"/>
        <v>-1650.118893723647</v>
      </c>
      <c r="F733" s="1">
        <f>SUM($E$10:E733)</f>
        <v>-574734.3795008451</v>
      </c>
    </row>
    <row r="734" spans="3:6" x14ac:dyDescent="0.25">
      <c r="C734">
        <f t="shared" ref="C734:C797" si="36">C733+1</f>
        <v>725</v>
      </c>
      <c r="D734" s="1">
        <f t="shared" ref="D734:D797" si="37">D733-(PI()*$D$4/100)</f>
        <v>-263.00156974387914</v>
      </c>
      <c r="E734" s="1">
        <f t="shared" si="35"/>
        <v>-1652.4875987799087</v>
      </c>
      <c r="F734" s="1">
        <f>SUM($E$10:E734)</f>
        <v>-576386.86709962506</v>
      </c>
    </row>
    <row r="735" spans="3:6" x14ac:dyDescent="0.25">
      <c r="C735">
        <f t="shared" si="36"/>
        <v>726</v>
      </c>
      <c r="D735" s="1">
        <f t="shared" si="37"/>
        <v>-263.37856086230994</v>
      </c>
      <c r="E735" s="1">
        <f t="shared" si="35"/>
        <v>-1654.8563038361701</v>
      </c>
      <c r="F735" s="1">
        <f>SUM($E$10:E735)</f>
        <v>-578041.72340346128</v>
      </c>
    </row>
    <row r="736" spans="3:6" x14ac:dyDescent="0.25">
      <c r="C736">
        <f t="shared" si="36"/>
        <v>727</v>
      </c>
      <c r="D736" s="1">
        <f t="shared" si="37"/>
        <v>-263.75555198074073</v>
      </c>
      <c r="E736" s="1">
        <f t="shared" si="35"/>
        <v>-1657.2250088924318</v>
      </c>
      <c r="F736" s="1">
        <f>SUM($E$10:E736)</f>
        <v>-579698.94841235375</v>
      </c>
    </row>
    <row r="737" spans="3:6" x14ac:dyDescent="0.25">
      <c r="C737">
        <f t="shared" si="36"/>
        <v>728</v>
      </c>
      <c r="D737" s="1">
        <f t="shared" si="37"/>
        <v>-264.13254309917153</v>
      </c>
      <c r="E737" s="1">
        <f t="shared" si="35"/>
        <v>-1659.5937139486934</v>
      </c>
      <c r="F737" s="1">
        <f>SUM($E$10:E737)</f>
        <v>-581358.54212630249</v>
      </c>
    </row>
    <row r="738" spans="3:6" x14ac:dyDescent="0.25">
      <c r="C738">
        <f t="shared" si="36"/>
        <v>729</v>
      </c>
      <c r="D738" s="1">
        <f t="shared" si="37"/>
        <v>-264.50953421760232</v>
      </c>
      <c r="E738" s="1">
        <f t="shared" si="35"/>
        <v>-1661.9624190049549</v>
      </c>
      <c r="F738" s="1">
        <f>SUM($E$10:E738)</f>
        <v>-583020.50454530749</v>
      </c>
    </row>
    <row r="739" spans="3:6" x14ac:dyDescent="0.25">
      <c r="C739">
        <f t="shared" si="36"/>
        <v>730</v>
      </c>
      <c r="D739" s="1">
        <f t="shared" si="37"/>
        <v>-264.88652533603312</v>
      </c>
      <c r="E739" s="1">
        <f t="shared" si="35"/>
        <v>-1664.3311240612165</v>
      </c>
      <c r="F739" s="1">
        <f>SUM($E$10:E739)</f>
        <v>-584684.83566936874</v>
      </c>
    </row>
    <row r="740" spans="3:6" x14ac:dyDescent="0.25">
      <c r="C740">
        <f t="shared" si="36"/>
        <v>731</v>
      </c>
      <c r="D740" s="1">
        <f t="shared" si="37"/>
        <v>-265.26351645446391</v>
      </c>
      <c r="E740" s="1">
        <f t="shared" si="35"/>
        <v>-1666.699829117478</v>
      </c>
      <c r="F740" s="1">
        <f>SUM($E$10:E740)</f>
        <v>-586351.53549848625</v>
      </c>
    </row>
    <row r="741" spans="3:6" x14ac:dyDescent="0.25">
      <c r="C741">
        <f t="shared" si="36"/>
        <v>732</v>
      </c>
      <c r="D741" s="1">
        <f t="shared" si="37"/>
        <v>-265.64050757289471</v>
      </c>
      <c r="E741" s="1">
        <f t="shared" si="35"/>
        <v>-1669.0685341737396</v>
      </c>
      <c r="F741" s="1">
        <f>SUM($E$10:E741)</f>
        <v>-588020.60403266002</v>
      </c>
    </row>
    <row r="742" spans="3:6" x14ac:dyDescent="0.25">
      <c r="C742">
        <f t="shared" si="36"/>
        <v>733</v>
      </c>
      <c r="D742" s="1">
        <f t="shared" si="37"/>
        <v>-266.0174986913255</v>
      </c>
      <c r="E742" s="1">
        <f t="shared" si="35"/>
        <v>-1671.4372392300013</v>
      </c>
      <c r="F742" s="1">
        <f>SUM($E$10:E742)</f>
        <v>-589692.04127189005</v>
      </c>
    </row>
    <row r="743" spans="3:6" x14ac:dyDescent="0.25">
      <c r="C743">
        <f t="shared" si="36"/>
        <v>734</v>
      </c>
      <c r="D743" s="1">
        <f t="shared" si="37"/>
        <v>-266.39448980975629</v>
      </c>
      <c r="E743" s="1">
        <f t="shared" si="35"/>
        <v>-1673.8059442862627</v>
      </c>
      <c r="F743" s="1">
        <f>SUM($E$10:E743)</f>
        <v>-591365.84721617633</v>
      </c>
    </row>
    <row r="744" spans="3:6" x14ac:dyDescent="0.25">
      <c r="C744">
        <f t="shared" si="36"/>
        <v>735</v>
      </c>
      <c r="D744" s="1">
        <f t="shared" si="37"/>
        <v>-266.77148092818709</v>
      </c>
      <c r="E744" s="1">
        <f t="shared" si="35"/>
        <v>-1676.1746493425244</v>
      </c>
      <c r="F744" s="1">
        <f>SUM($E$10:E744)</f>
        <v>-593042.02186551888</v>
      </c>
    </row>
    <row r="745" spans="3:6" x14ac:dyDescent="0.25">
      <c r="C745">
        <f t="shared" si="36"/>
        <v>736</v>
      </c>
      <c r="D745" s="1">
        <f t="shared" si="37"/>
        <v>-267.14847204661788</v>
      </c>
      <c r="E745" s="1">
        <f t="shared" si="35"/>
        <v>-1678.5433543987858</v>
      </c>
      <c r="F745" s="1">
        <f>SUM($E$10:E745)</f>
        <v>-594720.56521991768</v>
      </c>
    </row>
    <row r="746" spans="3:6" x14ac:dyDescent="0.25">
      <c r="C746">
        <f t="shared" si="36"/>
        <v>737</v>
      </c>
      <c r="D746" s="1">
        <f t="shared" si="37"/>
        <v>-267.52546316504868</v>
      </c>
      <c r="E746" s="1">
        <f t="shared" si="35"/>
        <v>-1680.9120594550475</v>
      </c>
      <c r="F746" s="1">
        <f>SUM($E$10:E746)</f>
        <v>-596401.47727937275</v>
      </c>
    </row>
    <row r="747" spans="3:6" x14ac:dyDescent="0.25">
      <c r="C747">
        <f t="shared" si="36"/>
        <v>738</v>
      </c>
      <c r="D747" s="1">
        <f t="shared" si="37"/>
        <v>-267.90245428347947</v>
      </c>
      <c r="E747" s="1">
        <f t="shared" si="35"/>
        <v>-1683.2807645113089</v>
      </c>
      <c r="F747" s="1">
        <f>SUM($E$10:E747)</f>
        <v>-598084.75804388407</v>
      </c>
    </row>
    <row r="748" spans="3:6" x14ac:dyDescent="0.25">
      <c r="C748">
        <f t="shared" si="36"/>
        <v>739</v>
      </c>
      <c r="D748" s="1">
        <f t="shared" si="37"/>
        <v>-268.27944540191027</v>
      </c>
      <c r="E748" s="1">
        <f t="shared" si="35"/>
        <v>-1685.6494695675706</v>
      </c>
      <c r="F748" s="1">
        <f>SUM($E$10:E748)</f>
        <v>-599770.40751345165</v>
      </c>
    </row>
    <row r="749" spans="3:6" x14ac:dyDescent="0.25">
      <c r="C749">
        <f t="shared" si="36"/>
        <v>740</v>
      </c>
      <c r="D749" s="1">
        <f t="shared" si="37"/>
        <v>-268.65643652034106</v>
      </c>
      <c r="E749" s="1">
        <f t="shared" si="35"/>
        <v>-1688.0181746238322</v>
      </c>
      <c r="F749" s="1">
        <f>SUM($E$10:E749)</f>
        <v>-601458.42568807548</v>
      </c>
    </row>
    <row r="750" spans="3:6" x14ac:dyDescent="0.25">
      <c r="C750">
        <f t="shared" si="36"/>
        <v>741</v>
      </c>
      <c r="D750" s="1">
        <f t="shared" si="37"/>
        <v>-269.03342763877185</v>
      </c>
      <c r="E750" s="1">
        <f t="shared" si="35"/>
        <v>-1690.3868796800937</v>
      </c>
      <c r="F750" s="1">
        <f>SUM($E$10:E750)</f>
        <v>-603148.81256775558</v>
      </c>
    </row>
    <row r="751" spans="3:6" x14ac:dyDescent="0.25">
      <c r="C751">
        <f t="shared" si="36"/>
        <v>742</v>
      </c>
      <c r="D751" s="1">
        <f t="shared" si="37"/>
        <v>-269.41041875720265</v>
      </c>
      <c r="E751" s="1">
        <f t="shared" si="35"/>
        <v>-1692.7555847363553</v>
      </c>
      <c r="F751" s="1">
        <f>SUM($E$10:E751)</f>
        <v>-604841.56815249193</v>
      </c>
    </row>
    <row r="752" spans="3:6" x14ac:dyDescent="0.25">
      <c r="C752">
        <f t="shared" si="36"/>
        <v>743</v>
      </c>
      <c r="D752" s="1">
        <f t="shared" si="37"/>
        <v>-269.78740987563344</v>
      </c>
      <c r="E752" s="1">
        <f t="shared" si="35"/>
        <v>-1695.1242897926168</v>
      </c>
      <c r="F752" s="1">
        <f>SUM($E$10:E752)</f>
        <v>-606536.69244228455</v>
      </c>
    </row>
    <row r="753" spans="3:6" x14ac:dyDescent="0.25">
      <c r="C753">
        <f t="shared" si="36"/>
        <v>744</v>
      </c>
      <c r="D753" s="1">
        <f t="shared" si="37"/>
        <v>-270.16440099406424</v>
      </c>
      <c r="E753" s="1">
        <f t="shared" si="35"/>
        <v>-1697.4929948488784</v>
      </c>
      <c r="F753" s="1">
        <f>SUM($E$10:E753)</f>
        <v>-608234.18543713342</v>
      </c>
    </row>
    <row r="754" spans="3:6" x14ac:dyDescent="0.25">
      <c r="C754">
        <f t="shared" si="36"/>
        <v>745</v>
      </c>
      <c r="D754" s="1">
        <f t="shared" si="37"/>
        <v>-270.54139211249503</v>
      </c>
      <c r="E754" s="1">
        <f t="shared" si="35"/>
        <v>-1699.8616999051401</v>
      </c>
      <c r="F754" s="1">
        <f>SUM($E$10:E754)</f>
        <v>-609934.04713703855</v>
      </c>
    </row>
    <row r="755" spans="3:6" x14ac:dyDescent="0.25">
      <c r="C755">
        <f t="shared" si="36"/>
        <v>746</v>
      </c>
      <c r="D755" s="1">
        <f t="shared" si="37"/>
        <v>-270.91838323092583</v>
      </c>
      <c r="E755" s="1">
        <f t="shared" si="35"/>
        <v>-1702.2304049614015</v>
      </c>
      <c r="F755" s="1">
        <f>SUM($E$10:E755)</f>
        <v>-611636.27754199994</v>
      </c>
    </row>
    <row r="756" spans="3:6" x14ac:dyDescent="0.25">
      <c r="C756">
        <f t="shared" si="36"/>
        <v>747</v>
      </c>
      <c r="D756" s="1">
        <f t="shared" si="37"/>
        <v>-271.29537434935662</v>
      </c>
      <c r="E756" s="1">
        <f t="shared" si="35"/>
        <v>-1704.5991100176632</v>
      </c>
      <c r="F756" s="1">
        <f>SUM($E$10:E756)</f>
        <v>-613340.87665201759</v>
      </c>
    </row>
    <row r="757" spans="3:6" x14ac:dyDescent="0.25">
      <c r="C757">
        <f t="shared" si="36"/>
        <v>748</v>
      </c>
      <c r="D757" s="1">
        <f t="shared" si="37"/>
        <v>-271.67236546778742</v>
      </c>
      <c r="E757" s="1">
        <f t="shared" si="35"/>
        <v>-1706.9678150739246</v>
      </c>
      <c r="F757" s="1">
        <f>SUM($E$10:E757)</f>
        <v>-615047.84446709149</v>
      </c>
    </row>
    <row r="758" spans="3:6" x14ac:dyDescent="0.25">
      <c r="C758">
        <f t="shared" si="36"/>
        <v>749</v>
      </c>
      <c r="D758" s="1">
        <f t="shared" si="37"/>
        <v>-272.04935658621821</v>
      </c>
      <c r="E758" s="1">
        <f t="shared" si="35"/>
        <v>-1709.3365201301863</v>
      </c>
      <c r="F758" s="1">
        <f>SUM($E$10:E758)</f>
        <v>-616757.18098722165</v>
      </c>
    </row>
    <row r="759" spans="3:6" x14ac:dyDescent="0.25">
      <c r="C759">
        <f t="shared" si="36"/>
        <v>750</v>
      </c>
      <c r="D759" s="1">
        <f t="shared" si="37"/>
        <v>-272.426347704649</v>
      </c>
      <c r="E759" s="1">
        <f t="shared" si="35"/>
        <v>-1711.7052251864477</v>
      </c>
      <c r="F759" s="1">
        <f>SUM($E$10:E759)</f>
        <v>-618468.88621240808</v>
      </c>
    </row>
    <row r="760" spans="3:6" x14ac:dyDescent="0.25">
      <c r="C760">
        <f t="shared" si="36"/>
        <v>751</v>
      </c>
      <c r="D760" s="1">
        <f t="shared" si="37"/>
        <v>-272.8033388230798</v>
      </c>
      <c r="E760" s="1">
        <f t="shared" si="35"/>
        <v>-1714.0739302427094</v>
      </c>
      <c r="F760" s="1">
        <f>SUM($E$10:E760)</f>
        <v>-620182.96014265076</v>
      </c>
    </row>
    <row r="761" spans="3:6" x14ac:dyDescent="0.25">
      <c r="C761">
        <f t="shared" si="36"/>
        <v>752</v>
      </c>
      <c r="D761" s="1">
        <f t="shared" si="37"/>
        <v>-273.18032994151059</v>
      </c>
      <c r="E761" s="1">
        <f t="shared" si="35"/>
        <v>-1716.442635298971</v>
      </c>
      <c r="F761" s="1">
        <f>SUM($E$10:E761)</f>
        <v>-621899.4027779497</v>
      </c>
    </row>
    <row r="762" spans="3:6" x14ac:dyDescent="0.25">
      <c r="C762">
        <f t="shared" si="36"/>
        <v>753</v>
      </c>
      <c r="D762" s="1">
        <f t="shared" si="37"/>
        <v>-273.55732105994139</v>
      </c>
      <c r="E762" s="1">
        <f t="shared" si="35"/>
        <v>-1718.8113403552325</v>
      </c>
      <c r="F762" s="1">
        <f>SUM($E$10:E762)</f>
        <v>-623618.2141183049</v>
      </c>
    </row>
    <row r="763" spans="3:6" x14ac:dyDescent="0.25">
      <c r="C763">
        <f t="shared" si="36"/>
        <v>754</v>
      </c>
      <c r="D763" s="1">
        <f t="shared" si="37"/>
        <v>-273.93431217837218</v>
      </c>
      <c r="E763" s="1">
        <f t="shared" si="35"/>
        <v>-1721.1800454114941</v>
      </c>
      <c r="F763" s="1">
        <f>SUM($E$10:E763)</f>
        <v>-625339.39416371635</v>
      </c>
    </row>
    <row r="764" spans="3:6" x14ac:dyDescent="0.25">
      <c r="C764">
        <f t="shared" si="36"/>
        <v>755</v>
      </c>
      <c r="D764" s="1">
        <f t="shared" si="37"/>
        <v>-274.31130329680298</v>
      </c>
      <c r="E764" s="1">
        <f t="shared" si="35"/>
        <v>-1723.5487504677556</v>
      </c>
      <c r="F764" s="1">
        <f>SUM($E$10:E764)</f>
        <v>-627062.94291418407</v>
      </c>
    </row>
    <row r="765" spans="3:6" x14ac:dyDescent="0.25">
      <c r="C765">
        <f t="shared" si="36"/>
        <v>756</v>
      </c>
      <c r="D765" s="1">
        <f t="shared" si="37"/>
        <v>-274.68829441523377</v>
      </c>
      <c r="E765" s="1">
        <f t="shared" si="35"/>
        <v>-1725.9174555240172</v>
      </c>
      <c r="F765" s="1">
        <f>SUM($E$10:E765)</f>
        <v>-628788.86036970804</v>
      </c>
    </row>
    <row r="766" spans="3:6" x14ac:dyDescent="0.25">
      <c r="C766">
        <f t="shared" si="36"/>
        <v>757</v>
      </c>
      <c r="D766" s="1">
        <f t="shared" si="37"/>
        <v>-275.06528553366456</v>
      </c>
      <c r="E766" s="1">
        <f t="shared" si="35"/>
        <v>-1728.2861605802789</v>
      </c>
      <c r="F766" s="1">
        <f>SUM($E$10:E766)</f>
        <v>-630517.14653028827</v>
      </c>
    </row>
    <row r="767" spans="3:6" x14ac:dyDescent="0.25">
      <c r="C767">
        <f t="shared" si="36"/>
        <v>758</v>
      </c>
      <c r="D767" s="1">
        <f t="shared" si="37"/>
        <v>-275.44227665209536</v>
      </c>
      <c r="E767" s="1">
        <f t="shared" si="35"/>
        <v>-1730.6548656365403</v>
      </c>
      <c r="F767" s="1">
        <f>SUM($E$10:E767)</f>
        <v>-632247.80139592476</v>
      </c>
    </row>
    <row r="768" spans="3:6" x14ac:dyDescent="0.25">
      <c r="C768">
        <f t="shared" si="36"/>
        <v>759</v>
      </c>
      <c r="D768" s="1">
        <f t="shared" si="37"/>
        <v>-275.81926777052615</v>
      </c>
      <c r="E768" s="1">
        <f t="shared" si="35"/>
        <v>-1733.023570692802</v>
      </c>
      <c r="F768" s="1">
        <f>SUM($E$10:E768)</f>
        <v>-633980.82496661751</v>
      </c>
    </row>
    <row r="769" spans="3:6" x14ac:dyDescent="0.25">
      <c r="C769">
        <f t="shared" si="36"/>
        <v>760</v>
      </c>
      <c r="D769" s="1">
        <f t="shared" si="37"/>
        <v>-276.19625888895695</v>
      </c>
      <c r="E769" s="1">
        <f t="shared" si="35"/>
        <v>-1735.3922757490634</v>
      </c>
      <c r="F769" s="1">
        <f>SUM($E$10:E769)</f>
        <v>-635716.21724236652</v>
      </c>
    </row>
    <row r="770" spans="3:6" x14ac:dyDescent="0.25">
      <c r="C770">
        <f t="shared" si="36"/>
        <v>761</v>
      </c>
      <c r="D770" s="1">
        <f t="shared" si="37"/>
        <v>-276.57325000738774</v>
      </c>
      <c r="E770" s="1">
        <f t="shared" si="35"/>
        <v>-1737.7609808053251</v>
      </c>
      <c r="F770" s="1">
        <f>SUM($E$10:E770)</f>
        <v>-637453.9782231719</v>
      </c>
    </row>
    <row r="771" spans="3:6" x14ac:dyDescent="0.25">
      <c r="C771">
        <f t="shared" si="36"/>
        <v>762</v>
      </c>
      <c r="D771" s="1">
        <f t="shared" si="37"/>
        <v>-276.95024112581854</v>
      </c>
      <c r="E771" s="1">
        <f t="shared" si="35"/>
        <v>-1740.1296858615867</v>
      </c>
      <c r="F771" s="1">
        <f>SUM($E$10:E771)</f>
        <v>-639194.10790903354</v>
      </c>
    </row>
    <row r="772" spans="3:6" x14ac:dyDescent="0.25">
      <c r="C772">
        <f t="shared" si="36"/>
        <v>763</v>
      </c>
      <c r="D772" s="1">
        <f t="shared" si="37"/>
        <v>-277.32723224424933</v>
      </c>
      <c r="E772" s="1">
        <f t="shared" si="35"/>
        <v>-1742.4983909178482</v>
      </c>
      <c r="F772" s="1">
        <f>SUM($E$10:E772)</f>
        <v>-640936.60629995144</v>
      </c>
    </row>
    <row r="773" spans="3:6" x14ac:dyDescent="0.25">
      <c r="C773">
        <f t="shared" si="36"/>
        <v>764</v>
      </c>
      <c r="D773" s="1">
        <f t="shared" si="37"/>
        <v>-277.70422336268012</v>
      </c>
      <c r="E773" s="1">
        <f t="shared" si="35"/>
        <v>-1744.8670959741098</v>
      </c>
      <c r="F773" s="1">
        <f>SUM($E$10:E773)</f>
        <v>-642681.4733959256</v>
      </c>
    </row>
    <row r="774" spans="3:6" x14ac:dyDescent="0.25">
      <c r="C774">
        <f t="shared" si="36"/>
        <v>765</v>
      </c>
      <c r="D774" s="1">
        <f t="shared" si="37"/>
        <v>-278.08121448111092</v>
      </c>
      <c r="E774" s="1">
        <f t="shared" si="35"/>
        <v>-1747.2358010303712</v>
      </c>
      <c r="F774" s="1">
        <f>SUM($E$10:E774)</f>
        <v>-644428.70919695601</v>
      </c>
    </row>
    <row r="775" spans="3:6" x14ac:dyDescent="0.25">
      <c r="C775">
        <f t="shared" si="36"/>
        <v>766</v>
      </c>
      <c r="D775" s="1">
        <f t="shared" si="37"/>
        <v>-278.45820559954171</v>
      </c>
      <c r="E775" s="1">
        <f t="shared" si="35"/>
        <v>-1749.6045060866329</v>
      </c>
      <c r="F775" s="1">
        <f>SUM($E$10:E775)</f>
        <v>-646178.31370304269</v>
      </c>
    </row>
    <row r="776" spans="3:6" x14ac:dyDescent="0.25">
      <c r="C776">
        <f t="shared" si="36"/>
        <v>767</v>
      </c>
      <c r="D776" s="1">
        <f t="shared" si="37"/>
        <v>-278.83519671797251</v>
      </c>
      <c r="E776" s="1">
        <f t="shared" si="35"/>
        <v>-1751.9732111428943</v>
      </c>
      <c r="F776" s="1">
        <f>SUM($E$10:E776)</f>
        <v>-647930.28691418562</v>
      </c>
    </row>
    <row r="777" spans="3:6" x14ac:dyDescent="0.25">
      <c r="C777">
        <f t="shared" si="36"/>
        <v>768</v>
      </c>
      <c r="D777" s="1">
        <f t="shared" si="37"/>
        <v>-279.2121878364033</v>
      </c>
      <c r="E777" s="1">
        <f t="shared" si="35"/>
        <v>-1754.341916199156</v>
      </c>
      <c r="F777" s="1">
        <f>SUM($E$10:E777)</f>
        <v>-649684.62883038481</v>
      </c>
    </row>
    <row r="778" spans="3:6" x14ac:dyDescent="0.25">
      <c r="C778">
        <f t="shared" si="36"/>
        <v>769</v>
      </c>
      <c r="D778" s="1">
        <f t="shared" si="37"/>
        <v>-279.5891789548341</v>
      </c>
      <c r="E778" s="1">
        <f t="shared" si="35"/>
        <v>-1756.7106212554177</v>
      </c>
      <c r="F778" s="1">
        <f>SUM($E$10:E778)</f>
        <v>-651441.33945164026</v>
      </c>
    </row>
    <row r="779" spans="3:6" x14ac:dyDescent="0.25">
      <c r="C779">
        <f t="shared" si="36"/>
        <v>770</v>
      </c>
      <c r="D779" s="1">
        <f t="shared" si="37"/>
        <v>-279.96617007326489</v>
      </c>
      <c r="E779" s="1">
        <f t="shared" ref="E779:E842" si="38">2*D779*PI()</f>
        <v>-1759.0793263116791</v>
      </c>
      <c r="F779" s="1">
        <f>SUM($E$10:E779)</f>
        <v>-653200.41877795197</v>
      </c>
    </row>
    <row r="780" spans="3:6" x14ac:dyDescent="0.25">
      <c r="C780">
        <f t="shared" si="36"/>
        <v>771</v>
      </c>
      <c r="D780" s="1">
        <f t="shared" si="37"/>
        <v>-280.34316119169569</v>
      </c>
      <c r="E780" s="1">
        <f t="shared" si="38"/>
        <v>-1761.4480313679408</v>
      </c>
      <c r="F780" s="1">
        <f>SUM($E$10:E780)</f>
        <v>-654961.86680931994</v>
      </c>
    </row>
    <row r="781" spans="3:6" x14ac:dyDescent="0.25">
      <c r="C781">
        <f t="shared" si="36"/>
        <v>772</v>
      </c>
      <c r="D781" s="1">
        <f t="shared" si="37"/>
        <v>-280.72015231012648</v>
      </c>
      <c r="E781" s="1">
        <f t="shared" si="38"/>
        <v>-1763.8167364242022</v>
      </c>
      <c r="F781" s="1">
        <f>SUM($E$10:E781)</f>
        <v>-656725.68354574416</v>
      </c>
    </row>
    <row r="782" spans="3:6" x14ac:dyDescent="0.25">
      <c r="C782">
        <f t="shared" si="36"/>
        <v>773</v>
      </c>
      <c r="D782" s="1">
        <f t="shared" si="37"/>
        <v>-281.09714342855727</v>
      </c>
      <c r="E782" s="1">
        <f t="shared" si="38"/>
        <v>-1766.1854414804639</v>
      </c>
      <c r="F782" s="1">
        <f>SUM($E$10:E782)</f>
        <v>-658491.86898722465</v>
      </c>
    </row>
    <row r="783" spans="3:6" x14ac:dyDescent="0.25">
      <c r="C783">
        <f t="shared" si="36"/>
        <v>774</v>
      </c>
      <c r="D783" s="1">
        <f t="shared" si="37"/>
        <v>-281.47413454698807</v>
      </c>
      <c r="E783" s="1">
        <f t="shared" si="38"/>
        <v>-1768.5541465367255</v>
      </c>
      <c r="F783" s="1">
        <f>SUM($E$10:E783)</f>
        <v>-660260.42313376139</v>
      </c>
    </row>
    <row r="784" spans="3:6" x14ac:dyDescent="0.25">
      <c r="C784">
        <f t="shared" si="36"/>
        <v>775</v>
      </c>
      <c r="D784" s="1">
        <f t="shared" si="37"/>
        <v>-281.85112566541886</v>
      </c>
      <c r="E784" s="1">
        <f t="shared" si="38"/>
        <v>-1770.9228515929869</v>
      </c>
      <c r="F784" s="1">
        <f>SUM($E$10:E784)</f>
        <v>-662031.34598535439</v>
      </c>
    </row>
    <row r="785" spans="3:6" x14ac:dyDescent="0.25">
      <c r="C785">
        <f t="shared" si="36"/>
        <v>776</v>
      </c>
      <c r="D785" s="1">
        <f t="shared" si="37"/>
        <v>-282.22811678384966</v>
      </c>
      <c r="E785" s="1">
        <f t="shared" si="38"/>
        <v>-1773.2915566492486</v>
      </c>
      <c r="F785" s="1">
        <f>SUM($E$10:E785)</f>
        <v>-663804.63754200365</v>
      </c>
    </row>
    <row r="786" spans="3:6" x14ac:dyDescent="0.25">
      <c r="C786">
        <f t="shared" si="36"/>
        <v>777</v>
      </c>
      <c r="D786" s="1">
        <f t="shared" si="37"/>
        <v>-282.60510790228045</v>
      </c>
      <c r="E786" s="1">
        <f t="shared" si="38"/>
        <v>-1775.66026170551</v>
      </c>
      <c r="F786" s="1">
        <f>SUM($E$10:E786)</f>
        <v>-665580.29780370917</v>
      </c>
    </row>
    <row r="787" spans="3:6" x14ac:dyDescent="0.25">
      <c r="C787">
        <f t="shared" si="36"/>
        <v>778</v>
      </c>
      <c r="D787" s="1">
        <f t="shared" si="37"/>
        <v>-282.98209902071125</v>
      </c>
      <c r="E787" s="1">
        <f t="shared" si="38"/>
        <v>-1778.0289667617717</v>
      </c>
      <c r="F787" s="1">
        <f>SUM($E$10:E787)</f>
        <v>-667358.32677047094</v>
      </c>
    </row>
    <row r="788" spans="3:6" x14ac:dyDescent="0.25">
      <c r="C788">
        <f t="shared" si="36"/>
        <v>779</v>
      </c>
      <c r="D788" s="1">
        <f t="shared" si="37"/>
        <v>-283.35909013914204</v>
      </c>
      <c r="E788" s="1">
        <f t="shared" si="38"/>
        <v>-1780.3976718180331</v>
      </c>
      <c r="F788" s="1">
        <f>SUM($E$10:E788)</f>
        <v>-669138.72444228898</v>
      </c>
    </row>
    <row r="789" spans="3:6" x14ac:dyDescent="0.25">
      <c r="C789">
        <f t="shared" si="36"/>
        <v>780</v>
      </c>
      <c r="D789" s="1">
        <f t="shared" si="37"/>
        <v>-283.73608125757283</v>
      </c>
      <c r="E789" s="1">
        <f t="shared" si="38"/>
        <v>-1782.7663768742948</v>
      </c>
      <c r="F789" s="1">
        <f>SUM($E$10:E789)</f>
        <v>-670921.49081916327</v>
      </c>
    </row>
    <row r="790" spans="3:6" x14ac:dyDescent="0.25">
      <c r="C790">
        <f t="shared" si="36"/>
        <v>781</v>
      </c>
      <c r="D790" s="1">
        <f t="shared" si="37"/>
        <v>-284.11307237600363</v>
      </c>
      <c r="E790" s="1">
        <f t="shared" si="38"/>
        <v>-1785.1350819305565</v>
      </c>
      <c r="F790" s="1">
        <f>SUM($E$10:E790)</f>
        <v>-672706.62590109382</v>
      </c>
    </row>
    <row r="791" spans="3:6" x14ac:dyDescent="0.25">
      <c r="C791">
        <f t="shared" si="36"/>
        <v>782</v>
      </c>
      <c r="D791" s="1">
        <f t="shared" si="37"/>
        <v>-284.49006349443442</v>
      </c>
      <c r="E791" s="1">
        <f t="shared" si="38"/>
        <v>-1787.5037869868179</v>
      </c>
      <c r="F791" s="1">
        <f>SUM($E$10:E791)</f>
        <v>-674494.12968808063</v>
      </c>
    </row>
    <row r="792" spans="3:6" x14ac:dyDescent="0.25">
      <c r="C792">
        <f t="shared" si="36"/>
        <v>783</v>
      </c>
      <c r="D792" s="1">
        <f t="shared" si="37"/>
        <v>-284.86705461286522</v>
      </c>
      <c r="E792" s="1">
        <f t="shared" si="38"/>
        <v>-1789.8724920430795</v>
      </c>
      <c r="F792" s="1">
        <f>SUM($E$10:E792)</f>
        <v>-676284.0021801237</v>
      </c>
    </row>
    <row r="793" spans="3:6" x14ac:dyDescent="0.25">
      <c r="C793">
        <f t="shared" si="36"/>
        <v>784</v>
      </c>
      <c r="D793" s="1">
        <f t="shared" si="37"/>
        <v>-285.24404573129601</v>
      </c>
      <c r="E793" s="1">
        <f t="shared" si="38"/>
        <v>-1792.241197099341</v>
      </c>
      <c r="F793" s="1">
        <f>SUM($E$10:E793)</f>
        <v>-678076.24337722303</v>
      </c>
    </row>
    <row r="794" spans="3:6" x14ac:dyDescent="0.25">
      <c r="C794">
        <f t="shared" si="36"/>
        <v>785</v>
      </c>
      <c r="D794" s="1">
        <f t="shared" si="37"/>
        <v>-285.62103684972681</v>
      </c>
      <c r="E794" s="1">
        <f t="shared" si="38"/>
        <v>-1794.6099021556026</v>
      </c>
      <c r="F794" s="1">
        <f>SUM($E$10:E794)</f>
        <v>-679870.85327937861</v>
      </c>
    </row>
    <row r="795" spans="3:6" x14ac:dyDescent="0.25">
      <c r="C795">
        <f t="shared" si="36"/>
        <v>786</v>
      </c>
      <c r="D795" s="1">
        <f t="shared" si="37"/>
        <v>-285.9980279681576</v>
      </c>
      <c r="E795" s="1">
        <f t="shared" si="38"/>
        <v>-1796.9786072118643</v>
      </c>
      <c r="F795" s="1">
        <f>SUM($E$10:E795)</f>
        <v>-681667.83188659046</v>
      </c>
    </row>
    <row r="796" spans="3:6" x14ac:dyDescent="0.25">
      <c r="C796">
        <f t="shared" si="36"/>
        <v>787</v>
      </c>
      <c r="D796" s="1">
        <f t="shared" si="37"/>
        <v>-286.3750190865884</v>
      </c>
      <c r="E796" s="1">
        <f t="shared" si="38"/>
        <v>-1799.3473122681257</v>
      </c>
      <c r="F796" s="1">
        <f>SUM($E$10:E796)</f>
        <v>-683467.17919885856</v>
      </c>
    </row>
    <row r="797" spans="3:6" x14ac:dyDescent="0.25">
      <c r="C797">
        <f t="shared" si="36"/>
        <v>788</v>
      </c>
      <c r="D797" s="1">
        <f t="shared" si="37"/>
        <v>-286.75201020501919</v>
      </c>
      <c r="E797" s="1">
        <f t="shared" si="38"/>
        <v>-1801.7160173243874</v>
      </c>
      <c r="F797" s="1">
        <f>SUM($E$10:E797)</f>
        <v>-685268.89521618292</v>
      </c>
    </row>
    <row r="798" spans="3:6" x14ac:dyDescent="0.25">
      <c r="C798">
        <f t="shared" ref="C798:C861" si="39">C797+1</f>
        <v>789</v>
      </c>
      <c r="D798" s="1">
        <f t="shared" ref="D798:D861" si="40">D797-(PI()*$D$4/100)</f>
        <v>-287.12900132344998</v>
      </c>
      <c r="E798" s="1">
        <f t="shared" si="38"/>
        <v>-1804.0847223806488</v>
      </c>
      <c r="F798" s="1">
        <f>SUM($E$10:E798)</f>
        <v>-687072.97993856354</v>
      </c>
    </row>
    <row r="799" spans="3:6" x14ac:dyDescent="0.25">
      <c r="C799">
        <f t="shared" si="39"/>
        <v>790</v>
      </c>
      <c r="D799" s="1">
        <f t="shared" si="40"/>
        <v>-287.50599244188078</v>
      </c>
      <c r="E799" s="1">
        <f t="shared" si="38"/>
        <v>-1806.4534274369105</v>
      </c>
      <c r="F799" s="1">
        <f>SUM($E$10:E799)</f>
        <v>-688879.43336600042</v>
      </c>
    </row>
    <row r="800" spans="3:6" x14ac:dyDescent="0.25">
      <c r="C800">
        <f t="shared" si="39"/>
        <v>791</v>
      </c>
      <c r="D800" s="1">
        <f t="shared" si="40"/>
        <v>-287.88298356031157</v>
      </c>
      <c r="E800" s="1">
        <f t="shared" si="38"/>
        <v>-1808.8221324931721</v>
      </c>
      <c r="F800" s="1">
        <f>SUM($E$10:E800)</f>
        <v>-690688.25549849356</v>
      </c>
    </row>
    <row r="801" spans="3:6" x14ac:dyDescent="0.25">
      <c r="C801">
        <f t="shared" si="39"/>
        <v>792</v>
      </c>
      <c r="D801" s="1">
        <f t="shared" si="40"/>
        <v>-288.25997467874237</v>
      </c>
      <c r="E801" s="1">
        <f t="shared" si="38"/>
        <v>-1811.1908375494336</v>
      </c>
      <c r="F801" s="1">
        <f>SUM($E$10:E801)</f>
        <v>-692499.44633604295</v>
      </c>
    </row>
    <row r="802" spans="3:6" x14ac:dyDescent="0.25">
      <c r="C802">
        <f t="shared" si="39"/>
        <v>793</v>
      </c>
      <c r="D802" s="1">
        <f t="shared" si="40"/>
        <v>-288.63696579717316</v>
      </c>
      <c r="E802" s="1">
        <f t="shared" si="38"/>
        <v>-1813.5595426056952</v>
      </c>
      <c r="F802" s="1">
        <f>SUM($E$10:E802)</f>
        <v>-694313.0058786486</v>
      </c>
    </row>
    <row r="803" spans="3:6" x14ac:dyDescent="0.25">
      <c r="C803">
        <f t="shared" si="39"/>
        <v>794</v>
      </c>
      <c r="D803" s="1">
        <f t="shared" si="40"/>
        <v>-289.01395691560396</v>
      </c>
      <c r="E803" s="1">
        <f t="shared" si="38"/>
        <v>-1815.9282476619567</v>
      </c>
      <c r="F803" s="1">
        <f>SUM($E$10:E803)</f>
        <v>-696128.93412631052</v>
      </c>
    </row>
    <row r="804" spans="3:6" x14ac:dyDescent="0.25">
      <c r="C804">
        <f t="shared" si="39"/>
        <v>795</v>
      </c>
      <c r="D804" s="1">
        <f t="shared" si="40"/>
        <v>-289.39094803403475</v>
      </c>
      <c r="E804" s="1">
        <f t="shared" si="38"/>
        <v>-1818.2969527182183</v>
      </c>
      <c r="F804" s="1">
        <f>SUM($E$10:E804)</f>
        <v>-697947.23107902869</v>
      </c>
    </row>
    <row r="805" spans="3:6" x14ac:dyDescent="0.25">
      <c r="C805">
        <f t="shared" si="39"/>
        <v>796</v>
      </c>
      <c r="D805" s="1">
        <f t="shared" si="40"/>
        <v>-289.76793915246554</v>
      </c>
      <c r="E805" s="1">
        <f t="shared" si="38"/>
        <v>-1820.6656577744798</v>
      </c>
      <c r="F805" s="1">
        <f>SUM($E$10:E805)</f>
        <v>-699767.89673680312</v>
      </c>
    </row>
    <row r="806" spans="3:6" x14ac:dyDescent="0.25">
      <c r="C806">
        <f t="shared" si="39"/>
        <v>797</v>
      </c>
      <c r="D806" s="1">
        <f t="shared" si="40"/>
        <v>-290.14493027089634</v>
      </c>
      <c r="E806" s="1">
        <f t="shared" si="38"/>
        <v>-1823.0343628307414</v>
      </c>
      <c r="F806" s="1">
        <f>SUM($E$10:E806)</f>
        <v>-701590.9310996338</v>
      </c>
    </row>
    <row r="807" spans="3:6" x14ac:dyDescent="0.25">
      <c r="C807">
        <f t="shared" si="39"/>
        <v>798</v>
      </c>
      <c r="D807" s="1">
        <f t="shared" si="40"/>
        <v>-290.52192138932713</v>
      </c>
      <c r="E807" s="1">
        <f t="shared" si="38"/>
        <v>-1825.4030678870031</v>
      </c>
      <c r="F807" s="1">
        <f>SUM($E$10:E807)</f>
        <v>-703416.33416752075</v>
      </c>
    </row>
    <row r="808" spans="3:6" x14ac:dyDescent="0.25">
      <c r="C808">
        <f t="shared" si="39"/>
        <v>799</v>
      </c>
      <c r="D808" s="1">
        <f t="shared" si="40"/>
        <v>-290.89891250775793</v>
      </c>
      <c r="E808" s="1">
        <f t="shared" si="38"/>
        <v>-1827.7717729432645</v>
      </c>
      <c r="F808" s="1">
        <f>SUM($E$10:E808)</f>
        <v>-705244.10594046407</v>
      </c>
    </row>
    <row r="809" spans="3:6" x14ac:dyDescent="0.25">
      <c r="C809">
        <f t="shared" si="39"/>
        <v>800</v>
      </c>
      <c r="D809" s="1">
        <f t="shared" si="40"/>
        <v>-291.27590362618872</v>
      </c>
      <c r="E809" s="1">
        <f t="shared" si="38"/>
        <v>-1830.1404779995262</v>
      </c>
      <c r="F809" s="1">
        <f>SUM($E$10:E809)</f>
        <v>-707074.24641846365</v>
      </c>
    </row>
    <row r="810" spans="3:6" x14ac:dyDescent="0.25">
      <c r="C810">
        <f t="shared" si="39"/>
        <v>801</v>
      </c>
      <c r="D810" s="1">
        <f t="shared" si="40"/>
        <v>-291.65289474461952</v>
      </c>
      <c r="E810" s="1">
        <f t="shared" si="38"/>
        <v>-1832.5091830557876</v>
      </c>
      <c r="F810" s="1">
        <f>SUM($E$10:E810)</f>
        <v>-708906.75560151949</v>
      </c>
    </row>
    <row r="811" spans="3:6" x14ac:dyDescent="0.25">
      <c r="C811">
        <f t="shared" si="39"/>
        <v>802</v>
      </c>
      <c r="D811" s="1">
        <f t="shared" si="40"/>
        <v>-292.02988586305031</v>
      </c>
      <c r="E811" s="1">
        <f t="shared" si="38"/>
        <v>-1834.8778881120493</v>
      </c>
      <c r="F811" s="1">
        <f>SUM($E$10:E811)</f>
        <v>-710741.63348963158</v>
      </c>
    </row>
    <row r="812" spans="3:6" x14ac:dyDescent="0.25">
      <c r="C812">
        <f t="shared" si="39"/>
        <v>803</v>
      </c>
      <c r="D812" s="1">
        <f t="shared" si="40"/>
        <v>-292.4068769814811</v>
      </c>
      <c r="E812" s="1">
        <f t="shared" si="38"/>
        <v>-1837.2465931683109</v>
      </c>
      <c r="F812" s="1">
        <f>SUM($E$10:E812)</f>
        <v>-712578.88008279994</v>
      </c>
    </row>
    <row r="813" spans="3:6" x14ac:dyDescent="0.25">
      <c r="C813">
        <f t="shared" si="39"/>
        <v>804</v>
      </c>
      <c r="D813" s="1">
        <f t="shared" si="40"/>
        <v>-292.7838680999119</v>
      </c>
      <c r="E813" s="1">
        <f t="shared" si="38"/>
        <v>-1839.6152982245724</v>
      </c>
      <c r="F813" s="1">
        <f>SUM($E$10:E813)</f>
        <v>-714418.49538102455</v>
      </c>
    </row>
    <row r="814" spans="3:6" x14ac:dyDescent="0.25">
      <c r="C814">
        <f t="shared" si="39"/>
        <v>805</v>
      </c>
      <c r="D814" s="1">
        <f t="shared" si="40"/>
        <v>-293.16085921834269</v>
      </c>
      <c r="E814" s="1">
        <f t="shared" si="38"/>
        <v>-1841.984003280834</v>
      </c>
      <c r="F814" s="1">
        <f>SUM($E$10:E814)</f>
        <v>-716260.47938430542</v>
      </c>
    </row>
    <row r="815" spans="3:6" x14ac:dyDescent="0.25">
      <c r="C815">
        <f t="shared" si="39"/>
        <v>806</v>
      </c>
      <c r="D815" s="1">
        <f t="shared" si="40"/>
        <v>-293.53785033677349</v>
      </c>
      <c r="E815" s="1">
        <f t="shared" si="38"/>
        <v>-1844.3527083370955</v>
      </c>
      <c r="F815" s="1">
        <f>SUM($E$10:E815)</f>
        <v>-718104.83209264255</v>
      </c>
    </row>
    <row r="816" spans="3:6" x14ac:dyDescent="0.25">
      <c r="C816">
        <f t="shared" si="39"/>
        <v>807</v>
      </c>
      <c r="D816" s="1">
        <f t="shared" si="40"/>
        <v>-293.91484145520428</v>
      </c>
      <c r="E816" s="1">
        <f t="shared" si="38"/>
        <v>-1846.7214133933571</v>
      </c>
      <c r="F816" s="1">
        <f>SUM($E$10:E816)</f>
        <v>-719951.55350603594</v>
      </c>
    </row>
    <row r="817" spans="3:6" x14ac:dyDescent="0.25">
      <c r="C817">
        <f t="shared" si="39"/>
        <v>808</v>
      </c>
      <c r="D817" s="1">
        <f t="shared" si="40"/>
        <v>-294.29183257363508</v>
      </c>
      <c r="E817" s="1">
        <f t="shared" si="38"/>
        <v>-1849.0901184496186</v>
      </c>
      <c r="F817" s="1">
        <f>SUM($E$10:E817)</f>
        <v>-721800.64362448559</v>
      </c>
    </row>
    <row r="818" spans="3:6" x14ac:dyDescent="0.25">
      <c r="C818">
        <f t="shared" si="39"/>
        <v>809</v>
      </c>
      <c r="D818" s="1">
        <f t="shared" si="40"/>
        <v>-294.66882369206587</v>
      </c>
      <c r="E818" s="1">
        <f t="shared" si="38"/>
        <v>-1851.4588235058802</v>
      </c>
      <c r="F818" s="1">
        <f>SUM($E$10:E818)</f>
        <v>-723652.10244799149</v>
      </c>
    </row>
    <row r="819" spans="3:6" x14ac:dyDescent="0.25">
      <c r="C819">
        <f t="shared" si="39"/>
        <v>810</v>
      </c>
      <c r="D819" s="1">
        <f t="shared" si="40"/>
        <v>-295.04581481049667</v>
      </c>
      <c r="E819" s="1">
        <f t="shared" si="38"/>
        <v>-1853.8275285621419</v>
      </c>
      <c r="F819" s="1">
        <f>SUM($E$10:E819)</f>
        <v>-725505.92997655366</v>
      </c>
    </row>
    <row r="820" spans="3:6" x14ac:dyDescent="0.25">
      <c r="C820">
        <f t="shared" si="39"/>
        <v>811</v>
      </c>
      <c r="D820" s="1">
        <f t="shared" si="40"/>
        <v>-295.42280592892746</v>
      </c>
      <c r="E820" s="1">
        <f t="shared" si="38"/>
        <v>-1856.1962336184033</v>
      </c>
      <c r="F820" s="1">
        <f>SUM($E$10:E820)</f>
        <v>-727362.12621017208</v>
      </c>
    </row>
    <row r="821" spans="3:6" x14ac:dyDescent="0.25">
      <c r="C821">
        <f t="shared" si="39"/>
        <v>812</v>
      </c>
      <c r="D821" s="1">
        <f t="shared" si="40"/>
        <v>-295.79979704735825</v>
      </c>
      <c r="E821" s="1">
        <f t="shared" si="38"/>
        <v>-1858.564938674665</v>
      </c>
      <c r="F821" s="1">
        <f>SUM($E$10:E821)</f>
        <v>-729220.69114884676</v>
      </c>
    </row>
    <row r="822" spans="3:6" x14ac:dyDescent="0.25">
      <c r="C822">
        <f t="shared" si="39"/>
        <v>813</v>
      </c>
      <c r="D822" s="1">
        <f t="shared" si="40"/>
        <v>-296.17678816578905</v>
      </c>
      <c r="E822" s="1">
        <f t="shared" si="38"/>
        <v>-1860.9336437309264</v>
      </c>
      <c r="F822" s="1">
        <f>SUM($E$10:E822)</f>
        <v>-731081.6247925777</v>
      </c>
    </row>
    <row r="823" spans="3:6" x14ac:dyDescent="0.25">
      <c r="C823">
        <f t="shared" si="39"/>
        <v>814</v>
      </c>
      <c r="D823" s="1">
        <f t="shared" si="40"/>
        <v>-296.55377928421984</v>
      </c>
      <c r="E823" s="1">
        <f t="shared" si="38"/>
        <v>-1863.3023487871881</v>
      </c>
      <c r="F823" s="1">
        <f>SUM($E$10:E823)</f>
        <v>-732944.9271413649</v>
      </c>
    </row>
    <row r="824" spans="3:6" x14ac:dyDescent="0.25">
      <c r="C824">
        <f t="shared" si="39"/>
        <v>815</v>
      </c>
      <c r="D824" s="1">
        <f t="shared" si="40"/>
        <v>-296.93077040265064</v>
      </c>
      <c r="E824" s="1">
        <f t="shared" si="38"/>
        <v>-1865.6710538434497</v>
      </c>
      <c r="F824" s="1">
        <f>SUM($E$10:E824)</f>
        <v>-734810.59819520835</v>
      </c>
    </row>
    <row r="825" spans="3:6" x14ac:dyDescent="0.25">
      <c r="C825">
        <f t="shared" si="39"/>
        <v>816</v>
      </c>
      <c r="D825" s="1">
        <f t="shared" si="40"/>
        <v>-297.30776152108143</v>
      </c>
      <c r="E825" s="1">
        <f t="shared" si="38"/>
        <v>-1868.0397588997112</v>
      </c>
      <c r="F825" s="1">
        <f>SUM($E$10:E825)</f>
        <v>-736678.63795410807</v>
      </c>
    </row>
    <row r="826" spans="3:6" x14ac:dyDescent="0.25">
      <c r="C826">
        <f t="shared" si="39"/>
        <v>817</v>
      </c>
      <c r="D826" s="1">
        <f t="shared" si="40"/>
        <v>-297.68475263951223</v>
      </c>
      <c r="E826" s="1">
        <f t="shared" si="38"/>
        <v>-1870.4084639559728</v>
      </c>
      <c r="F826" s="1">
        <f>SUM($E$10:E826)</f>
        <v>-738549.04641806404</v>
      </c>
    </row>
    <row r="827" spans="3:6" x14ac:dyDescent="0.25">
      <c r="C827">
        <f t="shared" si="39"/>
        <v>818</v>
      </c>
      <c r="D827" s="1">
        <f t="shared" si="40"/>
        <v>-298.06174375794302</v>
      </c>
      <c r="E827" s="1">
        <f t="shared" si="38"/>
        <v>-1872.7771690122343</v>
      </c>
      <c r="F827" s="1">
        <f>SUM($E$10:E827)</f>
        <v>-740421.82358707627</v>
      </c>
    </row>
    <row r="828" spans="3:6" x14ac:dyDescent="0.25">
      <c r="C828">
        <f t="shared" si="39"/>
        <v>819</v>
      </c>
      <c r="D828" s="1">
        <f t="shared" si="40"/>
        <v>-298.43873487637381</v>
      </c>
      <c r="E828" s="1">
        <f t="shared" si="38"/>
        <v>-1875.1458740684959</v>
      </c>
      <c r="F828" s="1">
        <f>SUM($E$10:E828)</f>
        <v>-742296.96946114476</v>
      </c>
    </row>
    <row r="829" spans="3:6" x14ac:dyDescent="0.25">
      <c r="C829">
        <f t="shared" si="39"/>
        <v>820</v>
      </c>
      <c r="D829" s="1">
        <f t="shared" si="40"/>
        <v>-298.81572599480461</v>
      </c>
      <c r="E829" s="1">
        <f t="shared" si="38"/>
        <v>-1877.5145791247576</v>
      </c>
      <c r="F829" s="1">
        <f>SUM($E$10:E829)</f>
        <v>-744174.48404026951</v>
      </c>
    </row>
    <row r="830" spans="3:6" x14ac:dyDescent="0.25">
      <c r="C830">
        <f t="shared" si="39"/>
        <v>821</v>
      </c>
      <c r="D830" s="1">
        <f t="shared" si="40"/>
        <v>-299.1927171132354</v>
      </c>
      <c r="E830" s="1">
        <f t="shared" si="38"/>
        <v>-1879.883284181019</v>
      </c>
      <c r="F830" s="1">
        <f>SUM($E$10:E830)</f>
        <v>-746054.36732445052</v>
      </c>
    </row>
    <row r="831" spans="3:6" x14ac:dyDescent="0.25">
      <c r="C831">
        <f t="shared" si="39"/>
        <v>822</v>
      </c>
      <c r="D831" s="1">
        <f t="shared" si="40"/>
        <v>-299.5697082316662</v>
      </c>
      <c r="E831" s="1">
        <f t="shared" si="38"/>
        <v>-1882.2519892372807</v>
      </c>
      <c r="F831" s="1">
        <f>SUM($E$10:E831)</f>
        <v>-747936.61931368778</v>
      </c>
    </row>
    <row r="832" spans="3:6" x14ac:dyDescent="0.25">
      <c r="C832">
        <f t="shared" si="39"/>
        <v>823</v>
      </c>
      <c r="D832" s="1">
        <f t="shared" si="40"/>
        <v>-299.94669935009699</v>
      </c>
      <c r="E832" s="1">
        <f t="shared" si="38"/>
        <v>-1884.6206942935421</v>
      </c>
      <c r="F832" s="1">
        <f>SUM($E$10:E832)</f>
        <v>-749821.24000798131</v>
      </c>
    </row>
    <row r="833" spans="3:6" x14ac:dyDescent="0.25">
      <c r="C833">
        <f t="shared" si="39"/>
        <v>824</v>
      </c>
      <c r="D833" s="1">
        <f t="shared" si="40"/>
        <v>-300.32369046852779</v>
      </c>
      <c r="E833" s="1">
        <f t="shared" si="38"/>
        <v>-1886.9893993498038</v>
      </c>
      <c r="F833" s="1">
        <f>SUM($E$10:E833)</f>
        <v>-751708.22940733109</v>
      </c>
    </row>
    <row r="834" spans="3:6" x14ac:dyDescent="0.25">
      <c r="C834">
        <f t="shared" si="39"/>
        <v>825</v>
      </c>
      <c r="D834" s="1">
        <f t="shared" si="40"/>
        <v>-300.70068158695858</v>
      </c>
      <c r="E834" s="1">
        <f t="shared" si="38"/>
        <v>-1889.3581044060652</v>
      </c>
      <c r="F834" s="1">
        <f>SUM($E$10:E834)</f>
        <v>-753597.58751173713</v>
      </c>
    </row>
    <row r="835" spans="3:6" x14ac:dyDescent="0.25">
      <c r="C835">
        <f t="shared" si="39"/>
        <v>826</v>
      </c>
      <c r="D835" s="1">
        <f t="shared" si="40"/>
        <v>-301.07767270538938</v>
      </c>
      <c r="E835" s="1">
        <f t="shared" si="38"/>
        <v>-1891.7268094623269</v>
      </c>
      <c r="F835" s="1">
        <f>SUM($E$10:E835)</f>
        <v>-755489.31432119943</v>
      </c>
    </row>
    <row r="836" spans="3:6" x14ac:dyDescent="0.25">
      <c r="C836">
        <f t="shared" si="39"/>
        <v>827</v>
      </c>
      <c r="D836" s="1">
        <f t="shared" si="40"/>
        <v>-301.45466382382017</v>
      </c>
      <c r="E836" s="1">
        <f t="shared" si="38"/>
        <v>-1894.0955145185885</v>
      </c>
      <c r="F836" s="1">
        <f>SUM($E$10:E836)</f>
        <v>-757383.40983571799</v>
      </c>
    </row>
    <row r="837" spans="3:6" x14ac:dyDescent="0.25">
      <c r="C837">
        <f t="shared" si="39"/>
        <v>828</v>
      </c>
      <c r="D837" s="1">
        <f t="shared" si="40"/>
        <v>-301.83165494225096</v>
      </c>
      <c r="E837" s="1">
        <f t="shared" si="38"/>
        <v>-1896.4642195748499</v>
      </c>
      <c r="F837" s="1">
        <f>SUM($E$10:E837)</f>
        <v>-759279.87405529281</v>
      </c>
    </row>
    <row r="838" spans="3:6" x14ac:dyDescent="0.25">
      <c r="C838">
        <f t="shared" si="39"/>
        <v>829</v>
      </c>
      <c r="D838" s="1">
        <f t="shared" si="40"/>
        <v>-302.20864606068176</v>
      </c>
      <c r="E838" s="1">
        <f t="shared" si="38"/>
        <v>-1898.8329246311116</v>
      </c>
      <c r="F838" s="1">
        <f>SUM($E$10:E838)</f>
        <v>-761178.70697992388</v>
      </c>
    </row>
    <row r="839" spans="3:6" x14ac:dyDescent="0.25">
      <c r="C839">
        <f t="shared" si="39"/>
        <v>830</v>
      </c>
      <c r="D839" s="1">
        <f t="shared" si="40"/>
        <v>-302.58563717911255</v>
      </c>
      <c r="E839" s="1">
        <f t="shared" si="38"/>
        <v>-1901.201629687373</v>
      </c>
      <c r="F839" s="1">
        <f>SUM($E$10:E839)</f>
        <v>-763079.90860961122</v>
      </c>
    </row>
    <row r="840" spans="3:6" x14ac:dyDescent="0.25">
      <c r="C840">
        <f t="shared" si="39"/>
        <v>831</v>
      </c>
      <c r="D840" s="1">
        <f t="shared" si="40"/>
        <v>-302.96262829754335</v>
      </c>
      <c r="E840" s="1">
        <f t="shared" si="38"/>
        <v>-1903.5703347436347</v>
      </c>
      <c r="F840" s="1">
        <f>SUM($E$10:E840)</f>
        <v>-764983.47894435481</v>
      </c>
    </row>
    <row r="841" spans="3:6" x14ac:dyDescent="0.25">
      <c r="C841">
        <f t="shared" si="39"/>
        <v>832</v>
      </c>
      <c r="D841" s="1">
        <f t="shared" si="40"/>
        <v>-303.33961941597414</v>
      </c>
      <c r="E841" s="1">
        <f t="shared" si="38"/>
        <v>-1905.9390397998964</v>
      </c>
      <c r="F841" s="1">
        <f>SUM($E$10:E841)</f>
        <v>-766889.41798415466</v>
      </c>
    </row>
    <row r="842" spans="3:6" x14ac:dyDescent="0.25">
      <c r="C842">
        <f t="shared" si="39"/>
        <v>833</v>
      </c>
      <c r="D842" s="1">
        <f t="shared" si="40"/>
        <v>-303.71661053440494</v>
      </c>
      <c r="E842" s="1">
        <f t="shared" si="38"/>
        <v>-1908.3077448561578</v>
      </c>
      <c r="F842" s="1">
        <f>SUM($E$10:E842)</f>
        <v>-768797.72572901077</v>
      </c>
    </row>
    <row r="843" spans="3:6" x14ac:dyDescent="0.25">
      <c r="C843">
        <f t="shared" si="39"/>
        <v>834</v>
      </c>
      <c r="D843" s="1">
        <f t="shared" si="40"/>
        <v>-304.09360165283573</v>
      </c>
      <c r="E843" s="1">
        <f t="shared" ref="E843:E906" si="41">2*D843*PI()</f>
        <v>-1910.6764499124195</v>
      </c>
      <c r="F843" s="1">
        <f>SUM($E$10:E843)</f>
        <v>-770708.40217892313</v>
      </c>
    </row>
    <row r="844" spans="3:6" x14ac:dyDescent="0.25">
      <c r="C844">
        <f t="shared" si="39"/>
        <v>835</v>
      </c>
      <c r="D844" s="1">
        <f t="shared" si="40"/>
        <v>-304.47059277126652</v>
      </c>
      <c r="E844" s="1">
        <f t="shared" si="41"/>
        <v>-1913.0451549686809</v>
      </c>
      <c r="F844" s="1">
        <f>SUM($E$10:E844)</f>
        <v>-772621.44733389176</v>
      </c>
    </row>
    <row r="845" spans="3:6" x14ac:dyDescent="0.25">
      <c r="C845">
        <f t="shared" si="39"/>
        <v>836</v>
      </c>
      <c r="D845" s="1">
        <f t="shared" si="40"/>
        <v>-304.84758388969732</v>
      </c>
      <c r="E845" s="1">
        <f t="shared" si="41"/>
        <v>-1915.4138600249426</v>
      </c>
      <c r="F845" s="1">
        <f>SUM($E$10:E845)</f>
        <v>-774536.86119391676</v>
      </c>
    </row>
    <row r="846" spans="3:6" x14ac:dyDescent="0.25">
      <c r="C846">
        <f t="shared" si="39"/>
        <v>837</v>
      </c>
      <c r="D846" s="1">
        <f t="shared" si="40"/>
        <v>-305.22457500812811</v>
      </c>
      <c r="E846" s="1">
        <f t="shared" si="41"/>
        <v>-1917.782565081204</v>
      </c>
      <c r="F846" s="1">
        <f>SUM($E$10:E846)</f>
        <v>-776454.64375899802</v>
      </c>
    </row>
    <row r="847" spans="3:6" x14ac:dyDescent="0.25">
      <c r="C847">
        <f t="shared" si="39"/>
        <v>838</v>
      </c>
      <c r="D847" s="1">
        <f t="shared" si="40"/>
        <v>-305.60156612655891</v>
      </c>
      <c r="E847" s="1">
        <f t="shared" si="41"/>
        <v>-1920.1512701374656</v>
      </c>
      <c r="F847" s="1">
        <f>SUM($E$10:E847)</f>
        <v>-778374.79502913554</v>
      </c>
    </row>
    <row r="848" spans="3:6" x14ac:dyDescent="0.25">
      <c r="C848">
        <f t="shared" si="39"/>
        <v>839</v>
      </c>
      <c r="D848" s="1">
        <f t="shared" si="40"/>
        <v>-305.9785572449897</v>
      </c>
      <c r="E848" s="1">
        <f t="shared" si="41"/>
        <v>-1922.5199751937273</v>
      </c>
      <c r="F848" s="1">
        <f>SUM($E$10:E848)</f>
        <v>-780297.31500432931</v>
      </c>
    </row>
    <row r="849" spans="3:6" x14ac:dyDescent="0.25">
      <c r="C849">
        <f t="shared" si="39"/>
        <v>840</v>
      </c>
      <c r="D849" s="1">
        <f t="shared" si="40"/>
        <v>-306.3555483634205</v>
      </c>
      <c r="E849" s="1">
        <f t="shared" si="41"/>
        <v>-1924.8886802499887</v>
      </c>
      <c r="F849" s="1">
        <f>SUM($E$10:E849)</f>
        <v>-782222.20368457935</v>
      </c>
    </row>
    <row r="850" spans="3:6" x14ac:dyDescent="0.25">
      <c r="C850">
        <f t="shared" si="39"/>
        <v>841</v>
      </c>
      <c r="D850" s="1">
        <f t="shared" si="40"/>
        <v>-306.73253948185129</v>
      </c>
      <c r="E850" s="1">
        <f t="shared" si="41"/>
        <v>-1927.2573853062504</v>
      </c>
      <c r="F850" s="1">
        <f>SUM($E$10:E850)</f>
        <v>-784149.46106988564</v>
      </c>
    </row>
    <row r="851" spans="3:6" x14ac:dyDescent="0.25">
      <c r="C851">
        <f t="shared" si="39"/>
        <v>842</v>
      </c>
      <c r="D851" s="1">
        <f t="shared" si="40"/>
        <v>-307.10953060028208</v>
      </c>
      <c r="E851" s="1">
        <f t="shared" si="41"/>
        <v>-1929.6260903625118</v>
      </c>
      <c r="F851" s="1">
        <f>SUM($E$10:E851)</f>
        <v>-786079.08716024819</v>
      </c>
    </row>
    <row r="852" spans="3:6" x14ac:dyDescent="0.25">
      <c r="C852">
        <f t="shared" si="39"/>
        <v>843</v>
      </c>
      <c r="D852" s="1">
        <f t="shared" si="40"/>
        <v>-307.48652171871288</v>
      </c>
      <c r="E852" s="1">
        <f t="shared" si="41"/>
        <v>-1931.9947954187735</v>
      </c>
      <c r="F852" s="1">
        <f>SUM($E$10:E852)</f>
        <v>-788011.081955667</v>
      </c>
    </row>
    <row r="853" spans="3:6" x14ac:dyDescent="0.25">
      <c r="C853">
        <f t="shared" si="39"/>
        <v>844</v>
      </c>
      <c r="D853" s="1">
        <f t="shared" si="40"/>
        <v>-307.86351283714367</v>
      </c>
      <c r="E853" s="1">
        <f t="shared" si="41"/>
        <v>-1934.3635004750352</v>
      </c>
      <c r="F853" s="1">
        <f>SUM($E$10:E853)</f>
        <v>-789945.44545614207</v>
      </c>
    </row>
    <row r="854" spans="3:6" x14ac:dyDescent="0.25">
      <c r="C854">
        <f t="shared" si="39"/>
        <v>845</v>
      </c>
      <c r="D854" s="1">
        <f t="shared" si="40"/>
        <v>-308.24050395557447</v>
      </c>
      <c r="E854" s="1">
        <f t="shared" si="41"/>
        <v>-1936.7322055312966</v>
      </c>
      <c r="F854" s="1">
        <f>SUM($E$10:E854)</f>
        <v>-791882.1776616734</v>
      </c>
    </row>
    <row r="855" spans="3:6" x14ac:dyDescent="0.25">
      <c r="C855">
        <f t="shared" si="39"/>
        <v>846</v>
      </c>
      <c r="D855" s="1">
        <f t="shared" si="40"/>
        <v>-308.61749507400526</v>
      </c>
      <c r="E855" s="1">
        <f t="shared" si="41"/>
        <v>-1939.1009105875582</v>
      </c>
      <c r="F855" s="1">
        <f>SUM($E$10:E855)</f>
        <v>-793821.27857226098</v>
      </c>
    </row>
    <row r="856" spans="3:6" x14ac:dyDescent="0.25">
      <c r="C856">
        <f t="shared" si="39"/>
        <v>847</v>
      </c>
      <c r="D856" s="1">
        <f t="shared" si="40"/>
        <v>-308.99448619243606</v>
      </c>
      <c r="E856" s="1">
        <f t="shared" si="41"/>
        <v>-1941.4696156438197</v>
      </c>
      <c r="F856" s="1">
        <f>SUM($E$10:E856)</f>
        <v>-795762.74818790483</v>
      </c>
    </row>
    <row r="857" spans="3:6" x14ac:dyDescent="0.25">
      <c r="C857">
        <f t="shared" si="39"/>
        <v>848</v>
      </c>
      <c r="D857" s="1">
        <f t="shared" si="40"/>
        <v>-309.37147731086685</v>
      </c>
      <c r="E857" s="1">
        <f t="shared" si="41"/>
        <v>-1943.8383207000813</v>
      </c>
      <c r="F857" s="1">
        <f>SUM($E$10:E857)</f>
        <v>-797706.58650860493</v>
      </c>
    </row>
    <row r="858" spans="3:6" x14ac:dyDescent="0.25">
      <c r="C858">
        <f t="shared" si="39"/>
        <v>849</v>
      </c>
      <c r="D858" s="1">
        <f t="shared" si="40"/>
        <v>-309.74846842929765</v>
      </c>
      <c r="E858" s="1">
        <f t="shared" si="41"/>
        <v>-1946.207025756343</v>
      </c>
      <c r="F858" s="1">
        <f>SUM($E$10:E858)</f>
        <v>-799652.79353436129</v>
      </c>
    </row>
    <row r="859" spans="3:6" x14ac:dyDescent="0.25">
      <c r="C859">
        <f t="shared" si="39"/>
        <v>850</v>
      </c>
      <c r="D859" s="1">
        <f t="shared" si="40"/>
        <v>-310.12545954772844</v>
      </c>
      <c r="E859" s="1">
        <f t="shared" si="41"/>
        <v>-1948.5757308126044</v>
      </c>
      <c r="F859" s="1">
        <f>SUM($E$10:E859)</f>
        <v>-801601.36926517391</v>
      </c>
    </row>
    <row r="860" spans="3:6" x14ac:dyDescent="0.25">
      <c r="C860">
        <f t="shared" si="39"/>
        <v>851</v>
      </c>
      <c r="D860" s="1">
        <f t="shared" si="40"/>
        <v>-310.50245066615923</v>
      </c>
      <c r="E860" s="1">
        <f t="shared" si="41"/>
        <v>-1950.9444358688661</v>
      </c>
      <c r="F860" s="1">
        <f>SUM($E$10:E860)</f>
        <v>-803552.31370104279</v>
      </c>
    </row>
    <row r="861" spans="3:6" x14ac:dyDescent="0.25">
      <c r="C861">
        <f t="shared" si="39"/>
        <v>852</v>
      </c>
      <c r="D861" s="1">
        <f t="shared" si="40"/>
        <v>-310.87944178459003</v>
      </c>
      <c r="E861" s="1">
        <f t="shared" si="41"/>
        <v>-1953.3131409251275</v>
      </c>
      <c r="F861" s="1">
        <f>SUM($E$10:E861)</f>
        <v>-805505.62684196793</v>
      </c>
    </row>
    <row r="862" spans="3:6" x14ac:dyDescent="0.25">
      <c r="C862">
        <f t="shared" ref="C862:C925" si="42">C861+1</f>
        <v>853</v>
      </c>
      <c r="D862" s="1">
        <f t="shared" ref="D862:D925" si="43">D861-(PI()*$D$4/100)</f>
        <v>-311.25643290302082</v>
      </c>
      <c r="E862" s="1">
        <f t="shared" si="41"/>
        <v>-1955.6818459813892</v>
      </c>
      <c r="F862" s="1">
        <f>SUM($E$10:E862)</f>
        <v>-807461.30868794932</v>
      </c>
    </row>
    <row r="863" spans="3:6" x14ac:dyDescent="0.25">
      <c r="C863">
        <f t="shared" si="42"/>
        <v>854</v>
      </c>
      <c r="D863" s="1">
        <f t="shared" si="43"/>
        <v>-311.63342402145162</v>
      </c>
      <c r="E863" s="1">
        <f t="shared" si="41"/>
        <v>-1958.0505510376506</v>
      </c>
      <c r="F863" s="1">
        <f>SUM($E$10:E863)</f>
        <v>-809419.35923898697</v>
      </c>
    </row>
    <row r="864" spans="3:6" x14ac:dyDescent="0.25">
      <c r="C864">
        <f t="shared" si="42"/>
        <v>855</v>
      </c>
      <c r="D864" s="1">
        <f t="shared" si="43"/>
        <v>-312.01041513988241</v>
      </c>
      <c r="E864" s="1">
        <f t="shared" si="41"/>
        <v>-1960.4192560939123</v>
      </c>
      <c r="F864" s="1">
        <f>SUM($E$10:E864)</f>
        <v>-811379.77849508089</v>
      </c>
    </row>
    <row r="865" spans="3:6" x14ac:dyDescent="0.25">
      <c r="C865">
        <f t="shared" si="42"/>
        <v>856</v>
      </c>
      <c r="D865" s="1">
        <f t="shared" si="43"/>
        <v>-312.38740625831321</v>
      </c>
      <c r="E865" s="1">
        <f t="shared" si="41"/>
        <v>-1962.7879611501739</v>
      </c>
      <c r="F865" s="1">
        <f>SUM($E$10:E865)</f>
        <v>-813342.56645623106</v>
      </c>
    </row>
    <row r="866" spans="3:6" x14ac:dyDescent="0.25">
      <c r="C866">
        <f t="shared" si="42"/>
        <v>857</v>
      </c>
      <c r="D866" s="1">
        <f t="shared" si="43"/>
        <v>-312.764397376744</v>
      </c>
      <c r="E866" s="1">
        <f t="shared" si="41"/>
        <v>-1965.1566662064354</v>
      </c>
      <c r="F866" s="1">
        <f>SUM($E$10:E866)</f>
        <v>-815307.72312243748</v>
      </c>
    </row>
    <row r="867" spans="3:6" x14ac:dyDescent="0.25">
      <c r="C867">
        <f t="shared" si="42"/>
        <v>858</v>
      </c>
      <c r="D867" s="1">
        <f t="shared" si="43"/>
        <v>-313.14138849517479</v>
      </c>
      <c r="E867" s="1">
        <f t="shared" si="41"/>
        <v>-1967.525371262697</v>
      </c>
      <c r="F867" s="1">
        <f>SUM($E$10:E867)</f>
        <v>-817275.24849370017</v>
      </c>
    </row>
    <row r="868" spans="3:6" x14ac:dyDescent="0.25">
      <c r="C868">
        <f t="shared" si="42"/>
        <v>859</v>
      </c>
      <c r="D868" s="1">
        <f t="shared" si="43"/>
        <v>-313.51837961360559</v>
      </c>
      <c r="E868" s="1">
        <f t="shared" si="41"/>
        <v>-1969.8940763189585</v>
      </c>
      <c r="F868" s="1">
        <f>SUM($E$10:E868)</f>
        <v>-819245.14257001912</v>
      </c>
    </row>
    <row r="869" spans="3:6" x14ac:dyDescent="0.25">
      <c r="C869">
        <f t="shared" si="42"/>
        <v>860</v>
      </c>
      <c r="D869" s="1">
        <f t="shared" si="43"/>
        <v>-313.89537073203638</v>
      </c>
      <c r="E869" s="1">
        <f t="shared" si="41"/>
        <v>-1972.2627813752201</v>
      </c>
      <c r="F869" s="1">
        <f>SUM($E$10:E869)</f>
        <v>-821217.40535139432</v>
      </c>
    </row>
    <row r="870" spans="3:6" x14ac:dyDescent="0.25">
      <c r="C870">
        <f t="shared" si="42"/>
        <v>861</v>
      </c>
      <c r="D870" s="1">
        <f t="shared" si="43"/>
        <v>-314.27236185046718</v>
      </c>
      <c r="E870" s="1">
        <f t="shared" si="41"/>
        <v>-1974.6314864314818</v>
      </c>
      <c r="F870" s="1">
        <f>SUM($E$10:E870)</f>
        <v>-823192.03683782578</v>
      </c>
    </row>
    <row r="871" spans="3:6" x14ac:dyDescent="0.25">
      <c r="C871">
        <f t="shared" si="42"/>
        <v>862</v>
      </c>
      <c r="D871" s="1">
        <f t="shared" si="43"/>
        <v>-314.64935296889797</v>
      </c>
      <c r="E871" s="1">
        <f t="shared" si="41"/>
        <v>-1977.0001914877432</v>
      </c>
      <c r="F871" s="1">
        <f>SUM($E$10:E871)</f>
        <v>-825169.03702931351</v>
      </c>
    </row>
    <row r="872" spans="3:6" x14ac:dyDescent="0.25">
      <c r="C872">
        <f t="shared" si="42"/>
        <v>863</v>
      </c>
      <c r="D872" s="1">
        <f t="shared" si="43"/>
        <v>-315.02634408732877</v>
      </c>
      <c r="E872" s="1">
        <f t="shared" si="41"/>
        <v>-1979.3688965440049</v>
      </c>
      <c r="F872" s="1">
        <f>SUM($E$10:E872)</f>
        <v>-827148.40592585749</v>
      </c>
    </row>
    <row r="873" spans="3:6" x14ac:dyDescent="0.25">
      <c r="C873">
        <f t="shared" si="42"/>
        <v>864</v>
      </c>
      <c r="D873" s="1">
        <f t="shared" si="43"/>
        <v>-315.40333520575956</v>
      </c>
      <c r="E873" s="1">
        <f t="shared" si="41"/>
        <v>-1981.7376016002663</v>
      </c>
      <c r="F873" s="1">
        <f>SUM($E$10:E873)</f>
        <v>-829130.14352745772</v>
      </c>
    </row>
    <row r="874" spans="3:6" x14ac:dyDescent="0.25">
      <c r="C874">
        <f t="shared" si="42"/>
        <v>865</v>
      </c>
      <c r="D874" s="1">
        <f t="shared" si="43"/>
        <v>-315.78032632419036</v>
      </c>
      <c r="E874" s="1">
        <f t="shared" si="41"/>
        <v>-1984.106306656528</v>
      </c>
      <c r="F874" s="1">
        <f>SUM($E$10:E874)</f>
        <v>-831114.24983411422</v>
      </c>
    </row>
    <row r="875" spans="3:6" x14ac:dyDescent="0.25">
      <c r="C875">
        <f t="shared" si="42"/>
        <v>866</v>
      </c>
      <c r="D875" s="1">
        <f t="shared" si="43"/>
        <v>-316.15731744262115</v>
      </c>
      <c r="E875" s="1">
        <f t="shared" si="41"/>
        <v>-1986.4750117127894</v>
      </c>
      <c r="F875" s="1">
        <f>SUM($E$10:E875)</f>
        <v>-833100.72484582698</v>
      </c>
    </row>
    <row r="876" spans="3:6" x14ac:dyDescent="0.25">
      <c r="C876">
        <f t="shared" si="42"/>
        <v>867</v>
      </c>
      <c r="D876" s="1">
        <f t="shared" si="43"/>
        <v>-316.53430856105194</v>
      </c>
      <c r="E876" s="1">
        <f t="shared" si="41"/>
        <v>-1988.8437167690511</v>
      </c>
      <c r="F876" s="1">
        <f>SUM($E$10:E876)</f>
        <v>-835089.56856259599</v>
      </c>
    </row>
    <row r="877" spans="3:6" x14ac:dyDescent="0.25">
      <c r="C877">
        <f t="shared" si="42"/>
        <v>868</v>
      </c>
      <c r="D877" s="1">
        <f t="shared" si="43"/>
        <v>-316.91129967948274</v>
      </c>
      <c r="E877" s="1">
        <f t="shared" si="41"/>
        <v>-1991.2124218253127</v>
      </c>
      <c r="F877" s="1">
        <f>SUM($E$10:E877)</f>
        <v>-837080.78098442126</v>
      </c>
    </row>
    <row r="878" spans="3:6" x14ac:dyDescent="0.25">
      <c r="C878">
        <f t="shared" si="42"/>
        <v>869</v>
      </c>
      <c r="D878" s="1">
        <f t="shared" si="43"/>
        <v>-317.28829079791353</v>
      </c>
      <c r="E878" s="1">
        <f t="shared" si="41"/>
        <v>-1993.5811268815742</v>
      </c>
      <c r="F878" s="1">
        <f>SUM($E$10:E878)</f>
        <v>-839074.36211130279</v>
      </c>
    </row>
    <row r="879" spans="3:6" x14ac:dyDescent="0.25">
      <c r="C879">
        <f t="shared" si="42"/>
        <v>870</v>
      </c>
      <c r="D879" s="1">
        <f t="shared" si="43"/>
        <v>-317.66528191634433</v>
      </c>
      <c r="E879" s="1">
        <f t="shared" si="41"/>
        <v>-1995.9498319378358</v>
      </c>
      <c r="F879" s="1">
        <f>SUM($E$10:E879)</f>
        <v>-841070.31194324058</v>
      </c>
    </row>
    <row r="880" spans="3:6" x14ac:dyDescent="0.25">
      <c r="C880">
        <f t="shared" si="42"/>
        <v>871</v>
      </c>
      <c r="D880" s="1">
        <f t="shared" si="43"/>
        <v>-318.04227303477512</v>
      </c>
      <c r="E880" s="1">
        <f t="shared" si="41"/>
        <v>-1998.3185369940973</v>
      </c>
      <c r="F880" s="1">
        <f>SUM($E$10:E880)</f>
        <v>-843068.63048023463</v>
      </c>
    </row>
    <row r="881" spans="3:6" x14ac:dyDescent="0.25">
      <c r="C881">
        <f t="shared" si="42"/>
        <v>872</v>
      </c>
      <c r="D881" s="1">
        <f t="shared" si="43"/>
        <v>-318.41926415320592</v>
      </c>
      <c r="E881" s="1">
        <f t="shared" si="41"/>
        <v>-2000.6872420503589</v>
      </c>
      <c r="F881" s="1">
        <f>SUM($E$10:E881)</f>
        <v>-845069.31772228493</v>
      </c>
    </row>
    <row r="882" spans="3:6" x14ac:dyDescent="0.25">
      <c r="C882">
        <f t="shared" si="42"/>
        <v>873</v>
      </c>
      <c r="D882" s="1">
        <f t="shared" si="43"/>
        <v>-318.79625527163671</v>
      </c>
      <c r="E882" s="1">
        <f t="shared" si="41"/>
        <v>-2003.0559471066206</v>
      </c>
      <c r="F882" s="1">
        <f>SUM($E$10:E882)</f>
        <v>-847072.3736693915</v>
      </c>
    </row>
    <row r="883" spans="3:6" x14ac:dyDescent="0.25">
      <c r="C883">
        <f t="shared" si="42"/>
        <v>874</v>
      </c>
      <c r="D883" s="1">
        <f t="shared" si="43"/>
        <v>-319.1732463900675</v>
      </c>
      <c r="E883" s="1">
        <f t="shared" si="41"/>
        <v>-2005.424652162882</v>
      </c>
      <c r="F883" s="1">
        <f>SUM($E$10:E883)</f>
        <v>-849077.79832155444</v>
      </c>
    </row>
    <row r="884" spans="3:6" x14ac:dyDescent="0.25">
      <c r="C884">
        <f t="shared" si="42"/>
        <v>875</v>
      </c>
      <c r="D884" s="1">
        <f t="shared" si="43"/>
        <v>-319.5502375084983</v>
      </c>
      <c r="E884" s="1">
        <f t="shared" si="41"/>
        <v>-2007.7933572191437</v>
      </c>
      <c r="F884" s="1">
        <f>SUM($E$10:E884)</f>
        <v>-851085.59167877364</v>
      </c>
    </row>
    <row r="885" spans="3:6" x14ac:dyDescent="0.25">
      <c r="C885">
        <f t="shared" si="42"/>
        <v>876</v>
      </c>
      <c r="D885" s="1">
        <f t="shared" si="43"/>
        <v>-319.92722862692909</v>
      </c>
      <c r="E885" s="1">
        <f t="shared" si="41"/>
        <v>-2010.1620622754051</v>
      </c>
      <c r="F885" s="1">
        <f>SUM($E$10:E885)</f>
        <v>-853095.75374104909</v>
      </c>
    </row>
    <row r="886" spans="3:6" x14ac:dyDescent="0.25">
      <c r="C886">
        <f t="shared" si="42"/>
        <v>877</v>
      </c>
      <c r="D886" s="1">
        <f t="shared" si="43"/>
        <v>-320.30421974535989</v>
      </c>
      <c r="E886" s="1">
        <f t="shared" si="41"/>
        <v>-2012.5307673316668</v>
      </c>
      <c r="F886" s="1">
        <f>SUM($E$10:E886)</f>
        <v>-855108.28450838081</v>
      </c>
    </row>
    <row r="887" spans="3:6" x14ac:dyDescent="0.25">
      <c r="C887">
        <f t="shared" si="42"/>
        <v>878</v>
      </c>
      <c r="D887" s="1">
        <f t="shared" si="43"/>
        <v>-320.68121086379068</v>
      </c>
      <c r="E887" s="1">
        <f t="shared" si="41"/>
        <v>-2014.8994723879284</v>
      </c>
      <c r="F887" s="1">
        <f>SUM($E$10:E887)</f>
        <v>-857123.18398076878</v>
      </c>
    </row>
    <row r="888" spans="3:6" x14ac:dyDescent="0.25">
      <c r="C888">
        <f t="shared" si="42"/>
        <v>879</v>
      </c>
      <c r="D888" s="1">
        <f t="shared" si="43"/>
        <v>-321.05820198222148</v>
      </c>
      <c r="E888" s="1">
        <f t="shared" si="41"/>
        <v>-2017.2681774441899</v>
      </c>
      <c r="F888" s="1">
        <f>SUM($E$10:E888)</f>
        <v>-859140.45215821301</v>
      </c>
    </row>
    <row r="889" spans="3:6" x14ac:dyDescent="0.25">
      <c r="C889">
        <f t="shared" si="42"/>
        <v>880</v>
      </c>
      <c r="D889" s="1">
        <f t="shared" si="43"/>
        <v>-321.43519310065227</v>
      </c>
      <c r="E889" s="1">
        <f t="shared" si="41"/>
        <v>-2019.6368825004515</v>
      </c>
      <c r="F889" s="1">
        <f>SUM($E$10:E889)</f>
        <v>-861160.0890407135</v>
      </c>
    </row>
    <row r="890" spans="3:6" x14ac:dyDescent="0.25">
      <c r="C890">
        <f t="shared" si="42"/>
        <v>881</v>
      </c>
      <c r="D890" s="1">
        <f t="shared" si="43"/>
        <v>-321.81218421908306</v>
      </c>
      <c r="E890" s="1">
        <f t="shared" si="41"/>
        <v>-2022.005587556713</v>
      </c>
      <c r="F890" s="1">
        <f>SUM($E$10:E890)</f>
        <v>-863182.09462827025</v>
      </c>
    </row>
    <row r="891" spans="3:6" x14ac:dyDescent="0.25">
      <c r="C891">
        <f t="shared" si="42"/>
        <v>882</v>
      </c>
      <c r="D891" s="1">
        <f t="shared" si="43"/>
        <v>-322.18917533751386</v>
      </c>
      <c r="E891" s="1">
        <f t="shared" si="41"/>
        <v>-2024.3742926129746</v>
      </c>
      <c r="F891" s="1">
        <f>SUM($E$10:E891)</f>
        <v>-865206.46892088326</v>
      </c>
    </row>
    <row r="892" spans="3:6" x14ac:dyDescent="0.25">
      <c r="C892">
        <f t="shared" si="42"/>
        <v>883</v>
      </c>
      <c r="D892" s="1">
        <f t="shared" si="43"/>
        <v>-322.56616645594465</v>
      </c>
      <c r="E892" s="1">
        <f t="shared" si="41"/>
        <v>-2026.742997669236</v>
      </c>
      <c r="F892" s="1">
        <f>SUM($E$10:E892)</f>
        <v>-867233.21191855252</v>
      </c>
    </row>
    <row r="893" spans="3:6" x14ac:dyDescent="0.25">
      <c r="C893">
        <f t="shared" si="42"/>
        <v>884</v>
      </c>
      <c r="D893" s="1">
        <f t="shared" si="43"/>
        <v>-322.94315757437545</v>
      </c>
      <c r="E893" s="1">
        <f t="shared" si="41"/>
        <v>-2029.1117027254977</v>
      </c>
      <c r="F893" s="1">
        <f>SUM($E$10:E893)</f>
        <v>-869262.32362127805</v>
      </c>
    </row>
    <row r="894" spans="3:6" x14ac:dyDescent="0.25">
      <c r="C894">
        <f t="shared" si="42"/>
        <v>885</v>
      </c>
      <c r="D894" s="1">
        <f t="shared" si="43"/>
        <v>-323.32014869280624</v>
      </c>
      <c r="E894" s="1">
        <f t="shared" si="41"/>
        <v>-2031.4804077817594</v>
      </c>
      <c r="F894" s="1">
        <f>SUM($E$10:E894)</f>
        <v>-871293.80402905983</v>
      </c>
    </row>
    <row r="895" spans="3:6" x14ac:dyDescent="0.25">
      <c r="C895">
        <f t="shared" si="42"/>
        <v>886</v>
      </c>
      <c r="D895" s="1">
        <f t="shared" si="43"/>
        <v>-323.69713981123704</v>
      </c>
      <c r="E895" s="1">
        <f t="shared" si="41"/>
        <v>-2033.8491128380208</v>
      </c>
      <c r="F895" s="1">
        <f>SUM($E$10:E895)</f>
        <v>-873327.65314189787</v>
      </c>
    </row>
    <row r="896" spans="3:6" x14ac:dyDescent="0.25">
      <c r="C896">
        <f t="shared" si="42"/>
        <v>887</v>
      </c>
      <c r="D896" s="1">
        <f t="shared" si="43"/>
        <v>-324.07413092966783</v>
      </c>
      <c r="E896" s="1">
        <f t="shared" si="41"/>
        <v>-2036.2178178942825</v>
      </c>
      <c r="F896" s="1">
        <f>SUM($E$10:E896)</f>
        <v>-875363.87095979217</v>
      </c>
    </row>
    <row r="897" spans="3:6" x14ac:dyDescent="0.25">
      <c r="C897">
        <f t="shared" si="42"/>
        <v>888</v>
      </c>
      <c r="D897" s="1">
        <f t="shared" si="43"/>
        <v>-324.45112204809863</v>
      </c>
      <c r="E897" s="1">
        <f t="shared" si="41"/>
        <v>-2038.5865229505439</v>
      </c>
      <c r="F897" s="1">
        <f>SUM($E$10:E897)</f>
        <v>-877402.45748274273</v>
      </c>
    </row>
    <row r="898" spans="3:6" x14ac:dyDescent="0.25">
      <c r="C898">
        <f t="shared" si="42"/>
        <v>889</v>
      </c>
      <c r="D898" s="1">
        <f t="shared" si="43"/>
        <v>-324.82811316652942</v>
      </c>
      <c r="E898" s="1">
        <f t="shared" si="41"/>
        <v>-2040.9552280068056</v>
      </c>
      <c r="F898" s="1">
        <f>SUM($E$10:E898)</f>
        <v>-879443.41271074954</v>
      </c>
    </row>
    <row r="899" spans="3:6" x14ac:dyDescent="0.25">
      <c r="C899">
        <f t="shared" si="42"/>
        <v>890</v>
      </c>
      <c r="D899" s="1">
        <f t="shared" si="43"/>
        <v>-325.20510428496021</v>
      </c>
      <c r="E899" s="1">
        <f t="shared" si="41"/>
        <v>-2043.3239330630672</v>
      </c>
      <c r="F899" s="1">
        <f>SUM($E$10:E899)</f>
        <v>-881486.73664381262</v>
      </c>
    </row>
    <row r="900" spans="3:6" x14ac:dyDescent="0.25">
      <c r="C900">
        <f t="shared" si="42"/>
        <v>891</v>
      </c>
      <c r="D900" s="1">
        <f t="shared" si="43"/>
        <v>-325.58209540339101</v>
      </c>
      <c r="E900" s="1">
        <f t="shared" si="41"/>
        <v>-2045.6926381193286</v>
      </c>
      <c r="F900" s="1">
        <f>SUM($E$10:E900)</f>
        <v>-883532.42928193195</v>
      </c>
    </row>
    <row r="901" spans="3:6" x14ac:dyDescent="0.25">
      <c r="C901">
        <f t="shared" si="42"/>
        <v>892</v>
      </c>
      <c r="D901" s="1">
        <f t="shared" si="43"/>
        <v>-325.9590865218218</v>
      </c>
      <c r="E901" s="1">
        <f t="shared" si="41"/>
        <v>-2048.0613431755901</v>
      </c>
      <c r="F901" s="1">
        <f>SUM($E$10:E901)</f>
        <v>-885580.49062510754</v>
      </c>
    </row>
    <row r="902" spans="3:6" x14ac:dyDescent="0.25">
      <c r="C902">
        <f t="shared" si="42"/>
        <v>893</v>
      </c>
      <c r="D902" s="1">
        <f t="shared" si="43"/>
        <v>-326.3360776402526</v>
      </c>
      <c r="E902" s="1">
        <f t="shared" si="41"/>
        <v>-2050.4300482318517</v>
      </c>
      <c r="F902" s="1">
        <f>SUM($E$10:E902)</f>
        <v>-887630.92067333939</v>
      </c>
    </row>
    <row r="903" spans="3:6" x14ac:dyDescent="0.25">
      <c r="C903">
        <f t="shared" si="42"/>
        <v>894</v>
      </c>
      <c r="D903" s="1">
        <f t="shared" si="43"/>
        <v>-326.71306875868339</v>
      </c>
      <c r="E903" s="1">
        <f t="shared" si="41"/>
        <v>-2052.7987532881134</v>
      </c>
      <c r="F903" s="1">
        <f>SUM($E$10:E903)</f>
        <v>-889683.7194266275</v>
      </c>
    </row>
    <row r="904" spans="3:6" x14ac:dyDescent="0.25">
      <c r="C904">
        <f t="shared" si="42"/>
        <v>895</v>
      </c>
      <c r="D904" s="1">
        <f t="shared" si="43"/>
        <v>-327.09005987711419</v>
      </c>
      <c r="E904" s="1">
        <f t="shared" si="41"/>
        <v>-2055.1674583443751</v>
      </c>
      <c r="F904" s="1">
        <f>SUM($E$10:E904)</f>
        <v>-891738.88688497187</v>
      </c>
    </row>
    <row r="905" spans="3:6" x14ac:dyDescent="0.25">
      <c r="C905">
        <f t="shared" si="42"/>
        <v>896</v>
      </c>
      <c r="D905" s="1">
        <f t="shared" si="43"/>
        <v>-327.46705099554498</v>
      </c>
      <c r="E905" s="1">
        <f t="shared" si="41"/>
        <v>-2057.5361634006367</v>
      </c>
      <c r="F905" s="1">
        <f>SUM($E$10:E905)</f>
        <v>-893796.4230483725</v>
      </c>
    </row>
    <row r="906" spans="3:6" x14ac:dyDescent="0.25">
      <c r="C906">
        <f t="shared" si="42"/>
        <v>897</v>
      </c>
      <c r="D906" s="1">
        <f t="shared" si="43"/>
        <v>-327.84404211397577</v>
      </c>
      <c r="E906" s="1">
        <f t="shared" si="41"/>
        <v>-2059.9048684568979</v>
      </c>
      <c r="F906" s="1">
        <f>SUM($E$10:E906)</f>
        <v>-895856.32791682938</v>
      </c>
    </row>
    <row r="907" spans="3:6" x14ac:dyDescent="0.25">
      <c r="C907">
        <f t="shared" si="42"/>
        <v>898</v>
      </c>
      <c r="D907" s="1">
        <f t="shared" si="43"/>
        <v>-328.22103323240657</v>
      </c>
      <c r="E907" s="1">
        <f t="shared" ref="E907:E970" si="44">2*D907*PI()</f>
        <v>-2062.2735735131596</v>
      </c>
      <c r="F907" s="1">
        <f>SUM($E$10:E907)</f>
        <v>-897918.60149034252</v>
      </c>
    </row>
    <row r="908" spans="3:6" x14ac:dyDescent="0.25">
      <c r="C908">
        <f t="shared" si="42"/>
        <v>899</v>
      </c>
      <c r="D908" s="1">
        <f t="shared" si="43"/>
        <v>-328.59802435083736</v>
      </c>
      <c r="E908" s="1">
        <f t="shared" si="44"/>
        <v>-2064.6422785694213</v>
      </c>
      <c r="F908" s="1">
        <f>SUM($E$10:E908)</f>
        <v>-899983.24376891193</v>
      </c>
    </row>
    <row r="909" spans="3:6" x14ac:dyDescent="0.25">
      <c r="C909">
        <f t="shared" si="42"/>
        <v>900</v>
      </c>
      <c r="D909" s="1">
        <f t="shared" si="43"/>
        <v>-328.97501546926816</v>
      </c>
      <c r="E909" s="1">
        <f t="shared" si="44"/>
        <v>-2067.0109836256829</v>
      </c>
      <c r="F909" s="1">
        <f>SUM($E$10:E909)</f>
        <v>-902050.25475253758</v>
      </c>
    </row>
    <row r="910" spans="3:6" x14ac:dyDescent="0.25">
      <c r="C910">
        <f t="shared" si="42"/>
        <v>901</v>
      </c>
      <c r="D910" s="1">
        <f t="shared" si="43"/>
        <v>-329.35200658769895</v>
      </c>
      <c r="E910" s="1">
        <f t="shared" si="44"/>
        <v>-2069.3796886819446</v>
      </c>
      <c r="F910" s="1">
        <f>SUM($E$10:E910)</f>
        <v>-904119.6344412195</v>
      </c>
    </row>
    <row r="911" spans="3:6" x14ac:dyDescent="0.25">
      <c r="C911">
        <f t="shared" si="42"/>
        <v>902</v>
      </c>
      <c r="D911" s="1">
        <f t="shared" si="43"/>
        <v>-329.72899770612975</v>
      </c>
      <c r="E911" s="1">
        <f t="shared" si="44"/>
        <v>-2071.7483937382058</v>
      </c>
      <c r="F911" s="1">
        <f>SUM($E$10:E911)</f>
        <v>-906191.38283495768</v>
      </c>
    </row>
    <row r="912" spans="3:6" x14ac:dyDescent="0.25">
      <c r="C912">
        <f t="shared" si="42"/>
        <v>903</v>
      </c>
      <c r="D912" s="1">
        <f t="shared" si="43"/>
        <v>-330.10598882456054</v>
      </c>
      <c r="E912" s="1">
        <f t="shared" si="44"/>
        <v>-2074.1170987944674</v>
      </c>
      <c r="F912" s="1">
        <f>SUM($E$10:E912)</f>
        <v>-908265.49993375211</v>
      </c>
    </row>
    <row r="913" spans="3:6" x14ac:dyDescent="0.25">
      <c r="C913">
        <f t="shared" si="42"/>
        <v>904</v>
      </c>
      <c r="D913" s="1">
        <f t="shared" si="43"/>
        <v>-330.48297994299134</v>
      </c>
      <c r="E913" s="1">
        <f t="shared" si="44"/>
        <v>-2076.4858038507291</v>
      </c>
      <c r="F913" s="1">
        <f>SUM($E$10:E913)</f>
        <v>-910341.98573760281</v>
      </c>
    </row>
    <row r="914" spans="3:6" x14ac:dyDescent="0.25">
      <c r="C914">
        <f t="shared" si="42"/>
        <v>905</v>
      </c>
      <c r="D914" s="1">
        <f t="shared" si="43"/>
        <v>-330.85997106142213</v>
      </c>
      <c r="E914" s="1">
        <f t="shared" si="44"/>
        <v>-2078.8545089069908</v>
      </c>
      <c r="F914" s="1">
        <f>SUM($E$10:E914)</f>
        <v>-912420.84024650976</v>
      </c>
    </row>
    <row r="915" spans="3:6" x14ac:dyDescent="0.25">
      <c r="C915">
        <f t="shared" si="42"/>
        <v>906</v>
      </c>
      <c r="D915" s="1">
        <f t="shared" si="43"/>
        <v>-331.23696217985292</v>
      </c>
      <c r="E915" s="1">
        <f t="shared" si="44"/>
        <v>-2081.223213963252</v>
      </c>
      <c r="F915" s="1">
        <f>SUM($E$10:E915)</f>
        <v>-914502.06346047297</v>
      </c>
    </row>
    <row r="916" spans="3:6" x14ac:dyDescent="0.25">
      <c r="C916">
        <f t="shared" si="42"/>
        <v>907</v>
      </c>
      <c r="D916" s="1">
        <f t="shared" si="43"/>
        <v>-331.61395329828372</v>
      </c>
      <c r="E916" s="1">
        <f t="shared" si="44"/>
        <v>-2083.5919190195136</v>
      </c>
      <c r="F916" s="1">
        <f>SUM($E$10:E916)</f>
        <v>-916585.65537949244</v>
      </c>
    </row>
    <row r="917" spans="3:6" x14ac:dyDescent="0.25">
      <c r="C917">
        <f t="shared" si="42"/>
        <v>908</v>
      </c>
      <c r="D917" s="1">
        <f t="shared" si="43"/>
        <v>-331.99094441671451</v>
      </c>
      <c r="E917" s="1">
        <f t="shared" si="44"/>
        <v>-2085.9606240757753</v>
      </c>
      <c r="F917" s="1">
        <f>SUM($E$10:E917)</f>
        <v>-918671.61600356817</v>
      </c>
    </row>
    <row r="918" spans="3:6" x14ac:dyDescent="0.25">
      <c r="C918">
        <f t="shared" si="42"/>
        <v>909</v>
      </c>
      <c r="D918" s="1">
        <f t="shared" si="43"/>
        <v>-332.36793553514531</v>
      </c>
      <c r="E918" s="1">
        <f t="shared" si="44"/>
        <v>-2088.3293291320369</v>
      </c>
      <c r="F918" s="1">
        <f>SUM($E$10:E918)</f>
        <v>-920759.94533270015</v>
      </c>
    </row>
    <row r="919" spans="3:6" x14ac:dyDescent="0.25">
      <c r="C919">
        <f t="shared" si="42"/>
        <v>910</v>
      </c>
      <c r="D919" s="1">
        <f t="shared" si="43"/>
        <v>-332.7449266535761</v>
      </c>
      <c r="E919" s="1">
        <f t="shared" si="44"/>
        <v>-2090.6980341882986</v>
      </c>
      <c r="F919" s="1">
        <f>SUM($E$10:E919)</f>
        <v>-922850.6433668884</v>
      </c>
    </row>
    <row r="920" spans="3:6" x14ac:dyDescent="0.25">
      <c r="C920">
        <f t="shared" si="42"/>
        <v>911</v>
      </c>
      <c r="D920" s="1">
        <f t="shared" si="43"/>
        <v>-333.1219177720069</v>
      </c>
      <c r="E920" s="1">
        <f t="shared" si="44"/>
        <v>-2093.0667392445598</v>
      </c>
      <c r="F920" s="1">
        <f>SUM($E$10:E920)</f>
        <v>-924943.7101061329</v>
      </c>
    </row>
    <row r="921" spans="3:6" x14ac:dyDescent="0.25">
      <c r="C921">
        <f t="shared" si="42"/>
        <v>912</v>
      </c>
      <c r="D921" s="1">
        <f t="shared" si="43"/>
        <v>-333.49890889043769</v>
      </c>
      <c r="E921" s="1">
        <f t="shared" si="44"/>
        <v>-2095.4354443008215</v>
      </c>
      <c r="F921" s="1">
        <f>SUM($E$10:E921)</f>
        <v>-927039.14555043378</v>
      </c>
    </row>
    <row r="922" spans="3:6" x14ac:dyDescent="0.25">
      <c r="C922">
        <f t="shared" si="42"/>
        <v>913</v>
      </c>
      <c r="D922" s="1">
        <f t="shared" si="43"/>
        <v>-333.87590000886848</v>
      </c>
      <c r="E922" s="1">
        <f t="shared" si="44"/>
        <v>-2097.8041493570831</v>
      </c>
      <c r="F922" s="1">
        <f>SUM($E$10:E922)</f>
        <v>-929136.94969979092</v>
      </c>
    </row>
    <row r="923" spans="3:6" x14ac:dyDescent="0.25">
      <c r="C923">
        <f t="shared" si="42"/>
        <v>914</v>
      </c>
      <c r="D923" s="1">
        <f t="shared" si="43"/>
        <v>-334.25289112729928</v>
      </c>
      <c r="E923" s="1">
        <f t="shared" si="44"/>
        <v>-2100.1728544133448</v>
      </c>
      <c r="F923" s="1">
        <f>SUM($E$10:E923)</f>
        <v>-931237.12255420431</v>
      </c>
    </row>
    <row r="924" spans="3:6" x14ac:dyDescent="0.25">
      <c r="C924">
        <f t="shared" si="42"/>
        <v>915</v>
      </c>
      <c r="D924" s="1">
        <f t="shared" si="43"/>
        <v>-334.62988224573007</v>
      </c>
      <c r="E924" s="1">
        <f t="shared" si="44"/>
        <v>-2102.5415594696065</v>
      </c>
      <c r="F924" s="1">
        <f>SUM($E$10:E924)</f>
        <v>-933339.66411367396</v>
      </c>
    </row>
    <row r="925" spans="3:6" x14ac:dyDescent="0.25">
      <c r="C925">
        <f t="shared" si="42"/>
        <v>916</v>
      </c>
      <c r="D925" s="1">
        <f t="shared" si="43"/>
        <v>-335.00687336416087</v>
      </c>
      <c r="E925" s="1">
        <f t="shared" si="44"/>
        <v>-2104.9102645258677</v>
      </c>
      <c r="F925" s="1">
        <f>SUM($E$10:E925)</f>
        <v>-935444.57437819988</v>
      </c>
    </row>
    <row r="926" spans="3:6" x14ac:dyDescent="0.25">
      <c r="C926">
        <f t="shared" ref="C926:C989" si="45">C925+1</f>
        <v>917</v>
      </c>
      <c r="D926" s="1">
        <f t="shared" ref="D926:D989" si="46">D925-(PI()*$D$4/100)</f>
        <v>-335.38386448259166</v>
      </c>
      <c r="E926" s="1">
        <f t="shared" si="44"/>
        <v>-2107.2789695821293</v>
      </c>
      <c r="F926" s="1">
        <f>SUM($E$10:E926)</f>
        <v>-937551.85334778205</v>
      </c>
    </row>
    <row r="927" spans="3:6" x14ac:dyDescent="0.25">
      <c r="C927">
        <f t="shared" si="45"/>
        <v>918</v>
      </c>
      <c r="D927" s="1">
        <f t="shared" si="46"/>
        <v>-335.76085560102246</v>
      </c>
      <c r="E927" s="1">
        <f t="shared" si="44"/>
        <v>-2109.647674638391</v>
      </c>
      <c r="F927" s="1">
        <f>SUM($E$10:E927)</f>
        <v>-939661.50102242047</v>
      </c>
    </row>
    <row r="928" spans="3:6" x14ac:dyDescent="0.25">
      <c r="C928">
        <f t="shared" si="45"/>
        <v>919</v>
      </c>
      <c r="D928" s="1">
        <f t="shared" si="46"/>
        <v>-336.13784671945325</v>
      </c>
      <c r="E928" s="1">
        <f t="shared" si="44"/>
        <v>-2112.0163796946526</v>
      </c>
      <c r="F928" s="1">
        <f>SUM($E$10:E928)</f>
        <v>-941773.51740211516</v>
      </c>
    </row>
    <row r="929" spans="3:6" x14ac:dyDescent="0.25">
      <c r="C929">
        <f t="shared" si="45"/>
        <v>920</v>
      </c>
      <c r="D929" s="1">
        <f t="shared" si="46"/>
        <v>-336.51483783788404</v>
      </c>
      <c r="E929" s="1">
        <f t="shared" si="44"/>
        <v>-2114.3850847509143</v>
      </c>
      <c r="F929" s="1">
        <f>SUM($E$10:E929)</f>
        <v>-943887.90248686611</v>
      </c>
    </row>
    <row r="930" spans="3:6" x14ac:dyDescent="0.25">
      <c r="C930">
        <f t="shared" si="45"/>
        <v>921</v>
      </c>
      <c r="D930" s="1">
        <f t="shared" si="46"/>
        <v>-336.89182895631484</v>
      </c>
      <c r="E930" s="1">
        <f t="shared" si="44"/>
        <v>-2116.7537898071755</v>
      </c>
      <c r="F930" s="1">
        <f>SUM($E$10:E930)</f>
        <v>-946004.65627667331</v>
      </c>
    </row>
    <row r="931" spans="3:6" x14ac:dyDescent="0.25">
      <c r="C931">
        <f t="shared" si="45"/>
        <v>922</v>
      </c>
      <c r="D931" s="1">
        <f t="shared" si="46"/>
        <v>-337.26882007474563</v>
      </c>
      <c r="E931" s="1">
        <f t="shared" si="44"/>
        <v>-2119.1224948634372</v>
      </c>
      <c r="F931" s="1">
        <f>SUM($E$10:E931)</f>
        <v>-948123.77877153677</v>
      </c>
    </row>
    <row r="932" spans="3:6" x14ac:dyDescent="0.25">
      <c r="C932">
        <f t="shared" si="45"/>
        <v>923</v>
      </c>
      <c r="D932" s="1">
        <f t="shared" si="46"/>
        <v>-337.64581119317643</v>
      </c>
      <c r="E932" s="1">
        <f t="shared" si="44"/>
        <v>-2121.4911999196988</v>
      </c>
      <c r="F932" s="1">
        <f>SUM($E$10:E932)</f>
        <v>-950245.2699714565</v>
      </c>
    </row>
    <row r="933" spans="3:6" x14ac:dyDescent="0.25">
      <c r="C933">
        <f t="shared" si="45"/>
        <v>924</v>
      </c>
      <c r="D933" s="1">
        <f t="shared" si="46"/>
        <v>-338.02280231160722</v>
      </c>
      <c r="E933" s="1">
        <f t="shared" si="44"/>
        <v>-2123.8599049759605</v>
      </c>
      <c r="F933" s="1">
        <f>SUM($E$10:E933)</f>
        <v>-952369.12987643247</v>
      </c>
    </row>
    <row r="934" spans="3:6" x14ac:dyDescent="0.25">
      <c r="C934">
        <f t="shared" si="45"/>
        <v>925</v>
      </c>
      <c r="D934" s="1">
        <f t="shared" si="46"/>
        <v>-338.39979343003802</v>
      </c>
      <c r="E934" s="1">
        <f t="shared" si="44"/>
        <v>-2126.2286100322222</v>
      </c>
      <c r="F934" s="1">
        <f>SUM($E$10:E934)</f>
        <v>-954495.35848646471</v>
      </c>
    </row>
    <row r="935" spans="3:6" x14ac:dyDescent="0.25">
      <c r="C935">
        <f t="shared" si="45"/>
        <v>926</v>
      </c>
      <c r="D935" s="1">
        <f t="shared" si="46"/>
        <v>-338.77678454846881</v>
      </c>
      <c r="E935" s="1">
        <f t="shared" si="44"/>
        <v>-2128.5973150884834</v>
      </c>
      <c r="F935" s="1">
        <f>SUM($E$10:E935)</f>
        <v>-956623.95580155321</v>
      </c>
    </row>
    <row r="936" spans="3:6" x14ac:dyDescent="0.25">
      <c r="C936">
        <f t="shared" si="45"/>
        <v>927</v>
      </c>
      <c r="D936" s="1">
        <f t="shared" si="46"/>
        <v>-339.15377566689961</v>
      </c>
      <c r="E936" s="1">
        <f t="shared" si="44"/>
        <v>-2130.966020144745</v>
      </c>
      <c r="F936" s="1">
        <f>SUM($E$10:E936)</f>
        <v>-958754.92182169796</v>
      </c>
    </row>
    <row r="937" spans="3:6" x14ac:dyDescent="0.25">
      <c r="C937">
        <f t="shared" si="45"/>
        <v>928</v>
      </c>
      <c r="D937" s="1">
        <f t="shared" si="46"/>
        <v>-339.5307667853304</v>
      </c>
      <c r="E937" s="1">
        <f t="shared" si="44"/>
        <v>-2133.3347252010067</v>
      </c>
      <c r="F937" s="1">
        <f>SUM($E$10:E937)</f>
        <v>-960888.25654689898</v>
      </c>
    </row>
    <row r="938" spans="3:6" x14ac:dyDescent="0.25">
      <c r="C938">
        <f t="shared" si="45"/>
        <v>929</v>
      </c>
      <c r="D938" s="1">
        <f t="shared" si="46"/>
        <v>-339.90775790376119</v>
      </c>
      <c r="E938" s="1">
        <f t="shared" si="44"/>
        <v>-2135.7034302572683</v>
      </c>
      <c r="F938" s="1">
        <f>SUM($E$10:E938)</f>
        <v>-963023.95997715625</v>
      </c>
    </row>
    <row r="939" spans="3:6" x14ac:dyDescent="0.25">
      <c r="C939">
        <f t="shared" si="45"/>
        <v>930</v>
      </c>
      <c r="D939" s="1">
        <f t="shared" si="46"/>
        <v>-340.28474902219199</v>
      </c>
      <c r="E939" s="1">
        <f t="shared" si="44"/>
        <v>-2138.07213531353</v>
      </c>
      <c r="F939" s="1">
        <f>SUM($E$10:E939)</f>
        <v>-965162.03211246978</v>
      </c>
    </row>
    <row r="940" spans="3:6" x14ac:dyDescent="0.25">
      <c r="C940">
        <f t="shared" si="45"/>
        <v>931</v>
      </c>
      <c r="D940" s="1">
        <f t="shared" si="46"/>
        <v>-340.66174014062278</v>
      </c>
      <c r="E940" s="1">
        <f t="shared" si="44"/>
        <v>-2140.4408403697912</v>
      </c>
      <c r="F940" s="1">
        <f>SUM($E$10:E940)</f>
        <v>-967302.47295283957</v>
      </c>
    </row>
    <row r="941" spans="3:6" x14ac:dyDescent="0.25">
      <c r="C941">
        <f t="shared" si="45"/>
        <v>932</v>
      </c>
      <c r="D941" s="1">
        <f t="shared" si="46"/>
        <v>-341.03873125905358</v>
      </c>
      <c r="E941" s="1">
        <f t="shared" si="44"/>
        <v>-2142.8095454260529</v>
      </c>
      <c r="F941" s="1">
        <f>SUM($E$10:E941)</f>
        <v>-969445.28249826562</v>
      </c>
    </row>
    <row r="942" spans="3:6" x14ac:dyDescent="0.25">
      <c r="C942">
        <f t="shared" si="45"/>
        <v>933</v>
      </c>
      <c r="D942" s="1">
        <f t="shared" si="46"/>
        <v>-341.41572237748437</v>
      </c>
      <c r="E942" s="1">
        <f t="shared" si="44"/>
        <v>-2145.1782504823145</v>
      </c>
      <c r="F942" s="1">
        <f>SUM($E$10:E942)</f>
        <v>-971590.46074874792</v>
      </c>
    </row>
    <row r="943" spans="3:6" x14ac:dyDescent="0.25">
      <c r="C943">
        <f t="shared" si="45"/>
        <v>934</v>
      </c>
      <c r="D943" s="1">
        <f t="shared" si="46"/>
        <v>-341.79271349591517</v>
      </c>
      <c r="E943" s="1">
        <f t="shared" si="44"/>
        <v>-2147.5469555385762</v>
      </c>
      <c r="F943" s="1">
        <f>SUM($E$10:E943)</f>
        <v>-973738.00770428649</v>
      </c>
    </row>
    <row r="944" spans="3:6" x14ac:dyDescent="0.25">
      <c r="C944">
        <f t="shared" si="45"/>
        <v>935</v>
      </c>
      <c r="D944" s="1">
        <f t="shared" si="46"/>
        <v>-342.16970461434596</v>
      </c>
      <c r="E944" s="1">
        <f t="shared" si="44"/>
        <v>-2149.9156605948374</v>
      </c>
      <c r="F944" s="1">
        <f>SUM($E$10:E944)</f>
        <v>-975887.92336488131</v>
      </c>
    </row>
    <row r="945" spans="3:6" x14ac:dyDescent="0.25">
      <c r="C945">
        <f t="shared" si="45"/>
        <v>936</v>
      </c>
      <c r="D945" s="1">
        <f t="shared" si="46"/>
        <v>-342.54669573277675</v>
      </c>
      <c r="E945" s="1">
        <f t="shared" si="44"/>
        <v>-2152.2843656510991</v>
      </c>
      <c r="F945" s="1">
        <f>SUM($E$10:E945)</f>
        <v>-978040.20773053239</v>
      </c>
    </row>
    <row r="946" spans="3:6" x14ac:dyDescent="0.25">
      <c r="C946">
        <f t="shared" si="45"/>
        <v>937</v>
      </c>
      <c r="D946" s="1">
        <f t="shared" si="46"/>
        <v>-342.92368685120755</v>
      </c>
      <c r="E946" s="1">
        <f t="shared" si="44"/>
        <v>-2154.6530707073607</v>
      </c>
      <c r="F946" s="1">
        <f>SUM($E$10:E946)</f>
        <v>-980194.86080123973</v>
      </c>
    </row>
    <row r="947" spans="3:6" x14ac:dyDescent="0.25">
      <c r="C947">
        <f t="shared" si="45"/>
        <v>938</v>
      </c>
      <c r="D947" s="1">
        <f t="shared" si="46"/>
        <v>-343.30067796963834</v>
      </c>
      <c r="E947" s="1">
        <f t="shared" si="44"/>
        <v>-2157.0217757636224</v>
      </c>
      <c r="F947" s="1">
        <f>SUM($E$10:E947)</f>
        <v>-982351.88257700333</v>
      </c>
    </row>
    <row r="948" spans="3:6" x14ac:dyDescent="0.25">
      <c r="C948">
        <f t="shared" si="45"/>
        <v>939</v>
      </c>
      <c r="D948" s="1">
        <f t="shared" si="46"/>
        <v>-343.67766908806914</v>
      </c>
      <c r="E948" s="1">
        <f t="shared" si="44"/>
        <v>-2159.390480819884</v>
      </c>
      <c r="F948" s="1">
        <f>SUM($E$10:E948)</f>
        <v>-984511.27305782319</v>
      </c>
    </row>
    <row r="949" spans="3:6" x14ac:dyDescent="0.25">
      <c r="C949">
        <f t="shared" si="45"/>
        <v>940</v>
      </c>
      <c r="D949" s="1">
        <f t="shared" si="46"/>
        <v>-344.05466020649993</v>
      </c>
      <c r="E949" s="1">
        <f t="shared" si="44"/>
        <v>-2161.7591858761452</v>
      </c>
      <c r="F949" s="1">
        <f>SUM($E$10:E949)</f>
        <v>-986673.0322436993</v>
      </c>
    </row>
    <row r="950" spans="3:6" x14ac:dyDescent="0.25">
      <c r="C950">
        <f t="shared" si="45"/>
        <v>941</v>
      </c>
      <c r="D950" s="1">
        <f t="shared" si="46"/>
        <v>-344.43165132493073</v>
      </c>
      <c r="E950" s="1">
        <f t="shared" si="44"/>
        <v>-2164.1278909324069</v>
      </c>
      <c r="F950" s="1">
        <f>SUM($E$10:E950)</f>
        <v>-988837.16013463167</v>
      </c>
    </row>
    <row r="951" spans="3:6" x14ac:dyDescent="0.25">
      <c r="C951">
        <f t="shared" si="45"/>
        <v>942</v>
      </c>
      <c r="D951" s="1">
        <f t="shared" si="46"/>
        <v>-344.80864244336152</v>
      </c>
      <c r="E951" s="1">
        <f t="shared" si="44"/>
        <v>-2166.4965959886686</v>
      </c>
      <c r="F951" s="1">
        <f>SUM($E$10:E951)</f>
        <v>-991003.65673062031</v>
      </c>
    </row>
    <row r="952" spans="3:6" x14ac:dyDescent="0.25">
      <c r="C952">
        <f t="shared" si="45"/>
        <v>943</v>
      </c>
      <c r="D952" s="1">
        <f t="shared" si="46"/>
        <v>-345.18563356179232</v>
      </c>
      <c r="E952" s="1">
        <f t="shared" si="44"/>
        <v>-2168.8653010449302</v>
      </c>
      <c r="F952" s="1">
        <f>SUM($E$10:E952)</f>
        <v>-993172.5220316652</v>
      </c>
    </row>
    <row r="953" spans="3:6" x14ac:dyDescent="0.25">
      <c r="C953">
        <f t="shared" si="45"/>
        <v>944</v>
      </c>
      <c r="D953" s="1">
        <f t="shared" si="46"/>
        <v>-345.56262468022311</v>
      </c>
      <c r="E953" s="1">
        <f t="shared" si="44"/>
        <v>-2171.2340061011919</v>
      </c>
      <c r="F953" s="1">
        <f>SUM($E$10:E953)</f>
        <v>-995343.75603776635</v>
      </c>
    </row>
    <row r="954" spans="3:6" x14ac:dyDescent="0.25">
      <c r="C954">
        <f t="shared" si="45"/>
        <v>945</v>
      </c>
      <c r="D954" s="1">
        <f t="shared" si="46"/>
        <v>-345.9396157986539</v>
      </c>
      <c r="E954" s="1">
        <f t="shared" si="44"/>
        <v>-2173.6027111574531</v>
      </c>
      <c r="F954" s="1">
        <f>SUM($E$10:E954)</f>
        <v>-997517.35874892375</v>
      </c>
    </row>
    <row r="955" spans="3:6" x14ac:dyDescent="0.25">
      <c r="C955">
        <f t="shared" si="45"/>
        <v>946</v>
      </c>
      <c r="D955" s="1">
        <f t="shared" si="46"/>
        <v>-346.3166069170847</v>
      </c>
      <c r="E955" s="1">
        <f t="shared" si="44"/>
        <v>-2175.9714162137147</v>
      </c>
      <c r="F955" s="1">
        <f>SUM($E$10:E955)</f>
        <v>-999693.33016513742</v>
      </c>
    </row>
    <row r="956" spans="3:6" x14ac:dyDescent="0.25">
      <c r="C956">
        <f t="shared" si="45"/>
        <v>947</v>
      </c>
      <c r="D956" s="1">
        <f t="shared" si="46"/>
        <v>-346.69359803551549</v>
      </c>
      <c r="E956" s="1">
        <f t="shared" si="44"/>
        <v>-2178.3401212699764</v>
      </c>
      <c r="F956" s="1">
        <f>SUM($E$10:E956)</f>
        <v>-1001871.6702864073</v>
      </c>
    </row>
    <row r="957" spans="3:6" x14ac:dyDescent="0.25">
      <c r="C957">
        <f t="shared" si="45"/>
        <v>948</v>
      </c>
      <c r="D957" s="1">
        <f t="shared" si="46"/>
        <v>-347.07058915394629</v>
      </c>
      <c r="E957" s="1">
        <f t="shared" si="44"/>
        <v>-2180.7088263262381</v>
      </c>
      <c r="F957" s="1">
        <f>SUM($E$10:E957)</f>
        <v>-1004052.3791127335</v>
      </c>
    </row>
    <row r="958" spans="3:6" x14ac:dyDescent="0.25">
      <c r="C958">
        <f t="shared" si="45"/>
        <v>949</v>
      </c>
      <c r="D958" s="1">
        <f t="shared" si="46"/>
        <v>-347.44758027237708</v>
      </c>
      <c r="E958" s="1">
        <f t="shared" si="44"/>
        <v>-2183.0775313824997</v>
      </c>
      <c r="F958" s="1">
        <f>SUM($E$10:E958)</f>
        <v>-1006235.456644116</v>
      </c>
    </row>
    <row r="959" spans="3:6" x14ac:dyDescent="0.25">
      <c r="C959">
        <f t="shared" si="45"/>
        <v>950</v>
      </c>
      <c r="D959" s="1">
        <f t="shared" si="46"/>
        <v>-347.82457139080788</v>
      </c>
      <c r="E959" s="1">
        <f t="shared" si="44"/>
        <v>-2185.4462364387609</v>
      </c>
      <c r="F959" s="1">
        <f>SUM($E$10:E959)</f>
        <v>-1008420.9028805548</v>
      </c>
    </row>
    <row r="960" spans="3:6" x14ac:dyDescent="0.25">
      <c r="C960">
        <f t="shared" si="45"/>
        <v>951</v>
      </c>
      <c r="D960" s="1">
        <f t="shared" si="46"/>
        <v>-348.20156250923867</v>
      </c>
      <c r="E960" s="1">
        <f t="shared" si="44"/>
        <v>-2187.8149414950226</v>
      </c>
      <c r="F960" s="1">
        <f>SUM($E$10:E960)</f>
        <v>-1010608.7178220499</v>
      </c>
    </row>
    <row r="961" spans="3:6" x14ac:dyDescent="0.25">
      <c r="C961">
        <f t="shared" si="45"/>
        <v>952</v>
      </c>
      <c r="D961" s="1">
        <f t="shared" si="46"/>
        <v>-348.57855362766946</v>
      </c>
      <c r="E961" s="1">
        <f t="shared" si="44"/>
        <v>-2190.1836465512843</v>
      </c>
      <c r="F961" s="1">
        <f>SUM($E$10:E961)</f>
        <v>-1012798.9014686012</v>
      </c>
    </row>
    <row r="962" spans="3:6" x14ac:dyDescent="0.25">
      <c r="C962">
        <f t="shared" si="45"/>
        <v>953</v>
      </c>
      <c r="D962" s="1">
        <f t="shared" si="46"/>
        <v>-348.95554474610026</v>
      </c>
      <c r="E962" s="1">
        <f t="shared" si="44"/>
        <v>-2192.5523516075459</v>
      </c>
      <c r="F962" s="1">
        <f>SUM($E$10:E962)</f>
        <v>-1014991.4538202088</v>
      </c>
    </row>
    <row r="963" spans="3:6" x14ac:dyDescent="0.25">
      <c r="C963">
        <f t="shared" si="45"/>
        <v>954</v>
      </c>
      <c r="D963" s="1">
        <f t="shared" si="46"/>
        <v>-349.33253586453105</v>
      </c>
      <c r="E963" s="1">
        <f t="shared" si="44"/>
        <v>-2194.9210566638076</v>
      </c>
      <c r="F963" s="1">
        <f>SUM($E$10:E963)</f>
        <v>-1017186.3748768726</v>
      </c>
    </row>
    <row r="964" spans="3:6" x14ac:dyDescent="0.25">
      <c r="C964">
        <f t="shared" si="45"/>
        <v>955</v>
      </c>
      <c r="D964" s="1">
        <f t="shared" si="46"/>
        <v>-349.70952698296185</v>
      </c>
      <c r="E964" s="1">
        <f t="shared" si="44"/>
        <v>-2197.2897617200688</v>
      </c>
      <c r="F964" s="1">
        <f>SUM($E$10:E964)</f>
        <v>-1019383.6646385927</v>
      </c>
    </row>
    <row r="965" spans="3:6" x14ac:dyDescent="0.25">
      <c r="C965">
        <f t="shared" si="45"/>
        <v>956</v>
      </c>
      <c r="D965" s="1">
        <f t="shared" si="46"/>
        <v>-350.08651810139264</v>
      </c>
      <c r="E965" s="1">
        <f t="shared" si="44"/>
        <v>-2199.6584667763304</v>
      </c>
      <c r="F965" s="1">
        <f>SUM($E$10:E965)</f>
        <v>-1021583.3231053691</v>
      </c>
    </row>
    <row r="966" spans="3:6" x14ac:dyDescent="0.25">
      <c r="C966">
        <f t="shared" si="45"/>
        <v>957</v>
      </c>
      <c r="D966" s="1">
        <f t="shared" si="46"/>
        <v>-350.46350921982344</v>
      </c>
      <c r="E966" s="1">
        <f t="shared" si="44"/>
        <v>-2202.0271718325921</v>
      </c>
      <c r="F966" s="1">
        <f>SUM($E$10:E966)</f>
        <v>-1023785.3502772017</v>
      </c>
    </row>
    <row r="967" spans="3:6" x14ac:dyDescent="0.25">
      <c r="C967">
        <f t="shared" si="45"/>
        <v>958</v>
      </c>
      <c r="D967" s="1">
        <f t="shared" si="46"/>
        <v>-350.84050033825423</v>
      </c>
      <c r="E967" s="1">
        <f t="shared" si="44"/>
        <v>-2204.3958768888538</v>
      </c>
      <c r="F967" s="1">
        <f>SUM($E$10:E967)</f>
        <v>-1025989.7461540906</v>
      </c>
    </row>
    <row r="968" spans="3:6" x14ac:dyDescent="0.25">
      <c r="C968">
        <f t="shared" si="45"/>
        <v>959</v>
      </c>
      <c r="D968" s="1">
        <f t="shared" si="46"/>
        <v>-351.21749145668502</v>
      </c>
      <c r="E968" s="1">
        <f t="shared" si="44"/>
        <v>-2206.7645819451154</v>
      </c>
      <c r="F968" s="1">
        <f>SUM($E$10:E968)</f>
        <v>-1028196.5107360358</v>
      </c>
    </row>
    <row r="969" spans="3:6" x14ac:dyDescent="0.25">
      <c r="C969">
        <f t="shared" si="45"/>
        <v>960</v>
      </c>
      <c r="D969" s="1">
        <f t="shared" si="46"/>
        <v>-351.59448257511582</v>
      </c>
      <c r="E969" s="1">
        <f t="shared" si="44"/>
        <v>-2209.1332870013766</v>
      </c>
      <c r="F969" s="1">
        <f>SUM($E$10:E969)</f>
        <v>-1030405.6440230372</v>
      </c>
    </row>
    <row r="970" spans="3:6" x14ac:dyDescent="0.25">
      <c r="C970">
        <f t="shared" si="45"/>
        <v>961</v>
      </c>
      <c r="D970" s="1">
        <f t="shared" si="46"/>
        <v>-351.97147369354661</v>
      </c>
      <c r="E970" s="1">
        <f t="shared" si="44"/>
        <v>-2211.5019920576383</v>
      </c>
      <c r="F970" s="1">
        <f>SUM($E$10:E970)</f>
        <v>-1032617.1460150948</v>
      </c>
    </row>
    <row r="971" spans="3:6" x14ac:dyDescent="0.25">
      <c r="C971">
        <f t="shared" si="45"/>
        <v>962</v>
      </c>
      <c r="D971" s="1">
        <f t="shared" si="46"/>
        <v>-352.34846481197741</v>
      </c>
      <c r="E971" s="1">
        <f t="shared" ref="E971:E1009" si="47">2*D971*PI()</f>
        <v>-2213.8706971139</v>
      </c>
      <c r="F971" s="1">
        <f>SUM($E$10:E971)</f>
        <v>-1034831.0167122087</v>
      </c>
    </row>
    <row r="972" spans="3:6" x14ac:dyDescent="0.25">
      <c r="C972">
        <f t="shared" si="45"/>
        <v>963</v>
      </c>
      <c r="D972" s="1">
        <f t="shared" si="46"/>
        <v>-352.7254559304082</v>
      </c>
      <c r="E972" s="1">
        <f t="shared" si="47"/>
        <v>-2216.2394021701616</v>
      </c>
      <c r="F972" s="1">
        <f>SUM($E$10:E972)</f>
        <v>-1037047.2561143789</v>
      </c>
    </row>
    <row r="973" spans="3:6" x14ac:dyDescent="0.25">
      <c r="C973">
        <f t="shared" si="45"/>
        <v>964</v>
      </c>
      <c r="D973" s="1">
        <f t="shared" si="46"/>
        <v>-353.102447048839</v>
      </c>
      <c r="E973" s="1">
        <f t="shared" si="47"/>
        <v>-2218.6081072264228</v>
      </c>
      <c r="F973" s="1">
        <f>SUM($E$10:E973)</f>
        <v>-1039265.8642216054</v>
      </c>
    </row>
    <row r="974" spans="3:6" x14ac:dyDescent="0.25">
      <c r="C974">
        <f t="shared" si="45"/>
        <v>965</v>
      </c>
      <c r="D974" s="1">
        <f t="shared" si="46"/>
        <v>-353.47943816726979</v>
      </c>
      <c r="E974" s="1">
        <f t="shared" si="47"/>
        <v>-2220.9768122826845</v>
      </c>
      <c r="F974" s="1">
        <f>SUM($E$10:E974)</f>
        <v>-1041486.841033888</v>
      </c>
    </row>
    <row r="975" spans="3:6" x14ac:dyDescent="0.25">
      <c r="C975">
        <f t="shared" si="45"/>
        <v>966</v>
      </c>
      <c r="D975" s="1">
        <f t="shared" si="46"/>
        <v>-353.85642928570059</v>
      </c>
      <c r="E975" s="1">
        <f t="shared" si="47"/>
        <v>-2223.3455173389461</v>
      </c>
      <c r="F975" s="1">
        <f>SUM($E$10:E975)</f>
        <v>-1043710.186551227</v>
      </c>
    </row>
    <row r="976" spans="3:6" x14ac:dyDescent="0.25">
      <c r="C976">
        <f t="shared" si="45"/>
        <v>967</v>
      </c>
      <c r="D976" s="1">
        <f t="shared" si="46"/>
        <v>-354.23342040413138</v>
      </c>
      <c r="E976" s="1">
        <f t="shared" si="47"/>
        <v>-2225.7142223952078</v>
      </c>
      <c r="F976" s="1">
        <f>SUM($E$10:E976)</f>
        <v>-1045935.9007736222</v>
      </c>
    </row>
    <row r="977" spans="3:6" x14ac:dyDescent="0.25">
      <c r="C977">
        <f t="shared" si="45"/>
        <v>968</v>
      </c>
      <c r="D977" s="1">
        <f t="shared" si="46"/>
        <v>-354.61041152256217</v>
      </c>
      <c r="E977" s="1">
        <f t="shared" si="47"/>
        <v>-2228.0829274514695</v>
      </c>
      <c r="F977" s="1">
        <f>SUM($E$10:E977)</f>
        <v>-1048163.9837010737</v>
      </c>
    </row>
    <row r="978" spans="3:6" x14ac:dyDescent="0.25">
      <c r="C978">
        <f t="shared" si="45"/>
        <v>969</v>
      </c>
      <c r="D978" s="1">
        <f t="shared" si="46"/>
        <v>-354.98740264099297</v>
      </c>
      <c r="E978" s="1">
        <f t="shared" si="47"/>
        <v>-2230.4516325077307</v>
      </c>
      <c r="F978" s="1">
        <f>SUM($E$10:E978)</f>
        <v>-1050394.4353335814</v>
      </c>
    </row>
    <row r="979" spans="3:6" x14ac:dyDescent="0.25">
      <c r="C979">
        <f t="shared" si="45"/>
        <v>970</v>
      </c>
      <c r="D979" s="1">
        <f t="shared" si="46"/>
        <v>-355.36439375942376</v>
      </c>
      <c r="E979" s="1">
        <f t="shared" si="47"/>
        <v>-2232.8203375639923</v>
      </c>
      <c r="F979" s="1">
        <f>SUM($E$10:E979)</f>
        <v>-1052627.2556711454</v>
      </c>
    </row>
    <row r="980" spans="3:6" x14ac:dyDescent="0.25">
      <c r="C980">
        <f t="shared" si="45"/>
        <v>971</v>
      </c>
      <c r="D980" s="1">
        <f t="shared" si="46"/>
        <v>-355.74138487785456</v>
      </c>
      <c r="E980" s="1">
        <f t="shared" si="47"/>
        <v>-2235.189042620254</v>
      </c>
      <c r="F980" s="1">
        <f>SUM($E$10:E980)</f>
        <v>-1054862.4447137658</v>
      </c>
    </row>
    <row r="981" spans="3:6" x14ac:dyDescent="0.25">
      <c r="C981">
        <f t="shared" si="45"/>
        <v>972</v>
      </c>
      <c r="D981" s="1">
        <f t="shared" si="46"/>
        <v>-356.11837599628535</v>
      </c>
      <c r="E981" s="1">
        <f t="shared" si="47"/>
        <v>-2237.5577476765156</v>
      </c>
      <c r="F981" s="1">
        <f>SUM($E$10:E981)</f>
        <v>-1057100.0024614423</v>
      </c>
    </row>
    <row r="982" spans="3:6" x14ac:dyDescent="0.25">
      <c r="C982">
        <f t="shared" si="45"/>
        <v>973</v>
      </c>
      <c r="D982" s="1">
        <f t="shared" si="46"/>
        <v>-356.49536711471615</v>
      </c>
      <c r="E982" s="1">
        <f t="shared" si="47"/>
        <v>-2239.9264527327773</v>
      </c>
      <c r="F982" s="1">
        <f>SUM($E$10:E982)</f>
        <v>-1059339.9289141751</v>
      </c>
    </row>
    <row r="983" spans="3:6" x14ac:dyDescent="0.25">
      <c r="C983">
        <f t="shared" si="45"/>
        <v>974</v>
      </c>
      <c r="D983" s="1">
        <f t="shared" si="46"/>
        <v>-356.87235823314694</v>
      </c>
      <c r="E983" s="1">
        <f t="shared" si="47"/>
        <v>-2242.2951577890385</v>
      </c>
      <c r="F983" s="1">
        <f>SUM($E$10:E983)</f>
        <v>-1061582.2240719642</v>
      </c>
    </row>
    <row r="984" spans="3:6" x14ac:dyDescent="0.25">
      <c r="C984">
        <f t="shared" si="45"/>
        <v>975</v>
      </c>
      <c r="D984" s="1">
        <f t="shared" si="46"/>
        <v>-357.24934935157773</v>
      </c>
      <c r="E984" s="1">
        <f t="shared" si="47"/>
        <v>-2244.6638628453002</v>
      </c>
      <c r="F984" s="1">
        <f>SUM($E$10:E984)</f>
        <v>-1063826.8879348096</v>
      </c>
    </row>
    <row r="985" spans="3:6" x14ac:dyDescent="0.25">
      <c r="C985">
        <f t="shared" si="45"/>
        <v>976</v>
      </c>
      <c r="D985" s="1">
        <f t="shared" si="46"/>
        <v>-357.62634047000853</v>
      </c>
      <c r="E985" s="1">
        <f t="shared" si="47"/>
        <v>-2247.0325679015618</v>
      </c>
      <c r="F985" s="1">
        <f>SUM($E$10:E985)</f>
        <v>-1066073.9205027111</v>
      </c>
    </row>
    <row r="986" spans="3:6" x14ac:dyDescent="0.25">
      <c r="C986">
        <f t="shared" si="45"/>
        <v>977</v>
      </c>
      <c r="D986" s="1">
        <f t="shared" si="46"/>
        <v>-358.00333158843932</v>
      </c>
      <c r="E986" s="1">
        <f t="shared" si="47"/>
        <v>-2249.4012729578235</v>
      </c>
      <c r="F986" s="1">
        <f>SUM($E$10:E986)</f>
        <v>-1068323.321775669</v>
      </c>
    </row>
    <row r="987" spans="3:6" x14ac:dyDescent="0.25">
      <c r="C987">
        <f t="shared" si="45"/>
        <v>978</v>
      </c>
      <c r="D987" s="1">
        <f t="shared" si="46"/>
        <v>-358.38032270687012</v>
      </c>
      <c r="E987" s="1">
        <f t="shared" si="47"/>
        <v>-2251.7699780140852</v>
      </c>
      <c r="F987" s="1">
        <f>SUM($E$10:E987)</f>
        <v>-1070575.0917536831</v>
      </c>
    </row>
    <row r="988" spans="3:6" x14ac:dyDescent="0.25">
      <c r="C988">
        <f t="shared" si="45"/>
        <v>979</v>
      </c>
      <c r="D988" s="1">
        <f t="shared" si="46"/>
        <v>-358.75731382530091</v>
      </c>
      <c r="E988" s="1">
        <f t="shared" si="47"/>
        <v>-2254.1386830703464</v>
      </c>
      <c r="F988" s="1">
        <f>SUM($E$10:E988)</f>
        <v>-1072829.2304367535</v>
      </c>
    </row>
    <row r="989" spans="3:6" x14ac:dyDescent="0.25">
      <c r="C989">
        <f t="shared" si="45"/>
        <v>980</v>
      </c>
      <c r="D989" s="1">
        <f t="shared" si="46"/>
        <v>-359.13430494373171</v>
      </c>
      <c r="E989" s="1">
        <f t="shared" si="47"/>
        <v>-2256.507388126608</v>
      </c>
      <c r="F989" s="1">
        <f>SUM($E$10:E989)</f>
        <v>-1075085.7378248801</v>
      </c>
    </row>
    <row r="990" spans="3:6" x14ac:dyDescent="0.25">
      <c r="C990">
        <f t="shared" ref="C990:C1009" si="48">C989+1</f>
        <v>981</v>
      </c>
      <c r="D990" s="1">
        <f t="shared" ref="D990:D1009" si="49">D989-(PI()*$D$4/100)</f>
        <v>-359.5112960621625</v>
      </c>
      <c r="E990" s="1">
        <f t="shared" si="47"/>
        <v>-2258.8760931828697</v>
      </c>
      <c r="F990" s="1">
        <f>SUM($E$10:E990)</f>
        <v>-1077344.613918063</v>
      </c>
    </row>
    <row r="991" spans="3:6" x14ac:dyDescent="0.25">
      <c r="C991">
        <f t="shared" si="48"/>
        <v>982</v>
      </c>
      <c r="D991" s="1">
        <f t="shared" si="49"/>
        <v>-359.8882871805933</v>
      </c>
      <c r="E991" s="1">
        <f t="shared" si="47"/>
        <v>-2261.2447982391313</v>
      </c>
      <c r="F991" s="1">
        <f>SUM($E$10:E991)</f>
        <v>-1079605.8587163021</v>
      </c>
    </row>
    <row r="992" spans="3:6" x14ac:dyDescent="0.25">
      <c r="C992">
        <f t="shared" si="48"/>
        <v>983</v>
      </c>
      <c r="D992" s="1">
        <f t="shared" si="49"/>
        <v>-360.26527829902409</v>
      </c>
      <c r="E992" s="1">
        <f t="shared" si="47"/>
        <v>-2263.613503295393</v>
      </c>
      <c r="F992" s="1">
        <f>SUM($E$10:E992)</f>
        <v>-1081869.4722195975</v>
      </c>
    </row>
    <row r="993" spans="3:6" x14ac:dyDescent="0.25">
      <c r="C993">
        <f t="shared" si="48"/>
        <v>984</v>
      </c>
      <c r="D993" s="1">
        <f t="shared" si="49"/>
        <v>-360.64226941745488</v>
      </c>
      <c r="E993" s="1">
        <f t="shared" si="47"/>
        <v>-2265.9822083516542</v>
      </c>
      <c r="F993" s="1">
        <f>SUM($E$10:E993)</f>
        <v>-1084135.4544279492</v>
      </c>
    </row>
    <row r="994" spans="3:6" x14ac:dyDescent="0.25">
      <c r="C994">
        <f t="shared" si="48"/>
        <v>985</v>
      </c>
      <c r="D994" s="1">
        <f t="shared" si="49"/>
        <v>-361.01926053588568</v>
      </c>
      <c r="E994" s="1">
        <f t="shared" si="47"/>
        <v>-2268.3509134079159</v>
      </c>
      <c r="F994" s="1">
        <f>SUM($E$10:E994)</f>
        <v>-1086403.8053413571</v>
      </c>
    </row>
    <row r="995" spans="3:6" x14ac:dyDescent="0.25">
      <c r="C995">
        <f t="shared" si="48"/>
        <v>986</v>
      </c>
      <c r="D995" s="1">
        <f t="shared" si="49"/>
        <v>-361.39625165431647</v>
      </c>
      <c r="E995" s="1">
        <f t="shared" si="47"/>
        <v>-2270.7196184641775</v>
      </c>
      <c r="F995" s="1">
        <f>SUM($E$10:E995)</f>
        <v>-1088674.5249598213</v>
      </c>
    </row>
    <row r="996" spans="3:6" x14ac:dyDescent="0.25">
      <c r="C996">
        <f t="shared" si="48"/>
        <v>987</v>
      </c>
      <c r="D996" s="1">
        <f t="shared" si="49"/>
        <v>-361.77324277274727</v>
      </c>
      <c r="E996" s="1">
        <f t="shared" si="47"/>
        <v>-2273.0883235204392</v>
      </c>
      <c r="F996" s="1">
        <f>SUM($E$10:E996)</f>
        <v>-1090947.6132833418</v>
      </c>
    </row>
    <row r="997" spans="3:6" x14ac:dyDescent="0.25">
      <c r="C997">
        <f t="shared" si="48"/>
        <v>988</v>
      </c>
      <c r="D997" s="1">
        <f t="shared" si="49"/>
        <v>-362.15023389117806</v>
      </c>
      <c r="E997" s="1">
        <f t="shared" si="47"/>
        <v>-2275.4570285767008</v>
      </c>
      <c r="F997" s="1">
        <f>SUM($E$10:E997)</f>
        <v>-1093223.0703119184</v>
      </c>
    </row>
    <row r="998" spans="3:6" x14ac:dyDescent="0.25">
      <c r="C998">
        <f t="shared" si="48"/>
        <v>989</v>
      </c>
      <c r="D998" s="1">
        <f t="shared" si="49"/>
        <v>-362.52722500960886</v>
      </c>
      <c r="E998" s="1">
        <f t="shared" si="47"/>
        <v>-2277.8257336329621</v>
      </c>
      <c r="F998" s="1">
        <f>SUM($E$10:E998)</f>
        <v>-1095500.8960455514</v>
      </c>
    </row>
    <row r="999" spans="3:6" x14ac:dyDescent="0.25">
      <c r="C999">
        <f t="shared" si="48"/>
        <v>990</v>
      </c>
      <c r="D999" s="1">
        <f t="shared" si="49"/>
        <v>-362.90421612803965</v>
      </c>
      <c r="E999" s="1">
        <f t="shared" si="47"/>
        <v>-2280.1944386892237</v>
      </c>
      <c r="F999" s="1">
        <f>SUM($E$10:E999)</f>
        <v>-1097781.0904842406</v>
      </c>
    </row>
    <row r="1000" spans="3:6" x14ac:dyDescent="0.25">
      <c r="C1000">
        <f t="shared" si="48"/>
        <v>991</v>
      </c>
      <c r="D1000" s="1">
        <f t="shared" si="49"/>
        <v>-363.28120724647044</v>
      </c>
      <c r="E1000" s="1">
        <f t="shared" si="47"/>
        <v>-2282.5631437454854</v>
      </c>
      <c r="F1000" s="1">
        <f>SUM($E$10:E1000)</f>
        <v>-1100063.6536279861</v>
      </c>
    </row>
    <row r="1001" spans="3:6" x14ac:dyDescent="0.25">
      <c r="C1001">
        <f t="shared" si="48"/>
        <v>992</v>
      </c>
      <c r="D1001" s="1">
        <f t="shared" si="49"/>
        <v>-363.65819836490124</v>
      </c>
      <c r="E1001" s="1">
        <f t="shared" si="47"/>
        <v>-2284.931848801747</v>
      </c>
      <c r="F1001" s="1">
        <f>SUM($E$10:E1001)</f>
        <v>-1102348.5854767878</v>
      </c>
    </row>
    <row r="1002" spans="3:6" x14ac:dyDescent="0.25">
      <c r="C1002">
        <f t="shared" si="48"/>
        <v>993</v>
      </c>
      <c r="D1002" s="1">
        <f t="shared" si="49"/>
        <v>-364.03518948333203</v>
      </c>
      <c r="E1002" s="1">
        <f t="shared" si="47"/>
        <v>-2287.3005538580082</v>
      </c>
      <c r="F1002" s="1">
        <f>SUM($E$10:E1002)</f>
        <v>-1104635.8860306458</v>
      </c>
    </row>
    <row r="1003" spans="3:6" x14ac:dyDescent="0.25">
      <c r="C1003">
        <f t="shared" si="48"/>
        <v>994</v>
      </c>
      <c r="D1003" s="1">
        <f t="shared" si="49"/>
        <v>-364.41218060176283</v>
      </c>
      <c r="E1003" s="1">
        <f t="shared" si="47"/>
        <v>-2289.6692589142699</v>
      </c>
      <c r="F1003" s="1">
        <f>SUM($E$10:E1003)</f>
        <v>-1106925.55528956</v>
      </c>
    </row>
    <row r="1004" spans="3:6" x14ac:dyDescent="0.25">
      <c r="C1004">
        <f t="shared" si="48"/>
        <v>995</v>
      </c>
      <c r="D1004" s="1">
        <f t="shared" si="49"/>
        <v>-364.78917172019362</v>
      </c>
      <c r="E1004" s="1">
        <f t="shared" si="47"/>
        <v>-2292.0379639705316</v>
      </c>
      <c r="F1004" s="1">
        <f>SUM($E$10:E1004)</f>
        <v>-1109217.5932535306</v>
      </c>
    </row>
    <row r="1005" spans="3:6" x14ac:dyDescent="0.25">
      <c r="C1005">
        <f t="shared" si="48"/>
        <v>996</v>
      </c>
      <c r="D1005" s="1">
        <f t="shared" si="49"/>
        <v>-365.16616283862442</v>
      </c>
      <c r="E1005" s="1">
        <f t="shared" si="47"/>
        <v>-2294.4066690267932</v>
      </c>
      <c r="F1005" s="1">
        <f>SUM($E$10:E1005)</f>
        <v>-1111511.9999225573</v>
      </c>
    </row>
    <row r="1006" spans="3:6" x14ac:dyDescent="0.25">
      <c r="C1006">
        <f t="shared" si="48"/>
        <v>997</v>
      </c>
      <c r="D1006" s="1">
        <f t="shared" si="49"/>
        <v>-365.54315395705521</v>
      </c>
      <c r="E1006" s="1">
        <f t="shared" si="47"/>
        <v>-2296.7753740830549</v>
      </c>
      <c r="F1006" s="1">
        <f>SUM($E$10:E1006)</f>
        <v>-1113808.7752966403</v>
      </c>
    </row>
    <row r="1007" spans="3:6" x14ac:dyDescent="0.25">
      <c r="C1007">
        <f t="shared" si="48"/>
        <v>998</v>
      </c>
      <c r="D1007" s="1">
        <f t="shared" si="49"/>
        <v>-365.920145075486</v>
      </c>
      <c r="E1007" s="1">
        <f t="shared" si="47"/>
        <v>-2299.1440791393161</v>
      </c>
      <c r="F1007" s="1">
        <f>SUM($E$10:E1007)</f>
        <v>-1116107.9193757796</v>
      </c>
    </row>
    <row r="1008" spans="3:6" x14ac:dyDescent="0.25">
      <c r="C1008">
        <f t="shared" si="48"/>
        <v>999</v>
      </c>
      <c r="D1008" s="1">
        <f t="shared" si="49"/>
        <v>-366.2971361939168</v>
      </c>
      <c r="E1008" s="1">
        <f t="shared" si="47"/>
        <v>-2301.5127841955778</v>
      </c>
      <c r="F1008" s="1">
        <f>SUM($E$10:E1008)</f>
        <v>-1118409.4321599752</v>
      </c>
    </row>
    <row r="1009" spans="3:6" x14ac:dyDescent="0.25">
      <c r="C1009">
        <f t="shared" si="48"/>
        <v>1000</v>
      </c>
      <c r="D1009" s="1">
        <f t="shared" si="49"/>
        <v>-366.67412731234759</v>
      </c>
      <c r="E1009" s="1">
        <f t="shared" si="47"/>
        <v>-2303.8814892518394</v>
      </c>
      <c r="F1009" s="1">
        <f>SUM($E$10:E1009)</f>
        <v>-1120713.3136492269</v>
      </c>
    </row>
    <row r="1010" spans="3:6" x14ac:dyDescent="0.25">
      <c r="D1010" s="1"/>
      <c r="E1010" s="1"/>
      <c r="F1010" s="1"/>
    </row>
    <row r="1011" spans="3:6" x14ac:dyDescent="0.25">
      <c r="D1011" s="1"/>
      <c r="E1011" s="1"/>
      <c r="F1011" s="1"/>
    </row>
    <row r="1012" spans="3:6" x14ac:dyDescent="0.25">
      <c r="D1012" s="1"/>
      <c r="E1012" s="1"/>
      <c r="F1012" s="1"/>
    </row>
    <row r="1013" spans="3:6" x14ac:dyDescent="0.25">
      <c r="D1013" s="1"/>
      <c r="E1013" s="1"/>
      <c r="F1013" s="1"/>
    </row>
    <row r="1014" spans="3:6" x14ac:dyDescent="0.25">
      <c r="D1014" s="1"/>
      <c r="E1014" s="1"/>
      <c r="F1014" s="1"/>
    </row>
    <row r="1015" spans="3:6" x14ac:dyDescent="0.25">
      <c r="D1015" s="1"/>
      <c r="E1015" s="1"/>
      <c r="F1015" s="1"/>
    </row>
    <row r="1016" spans="3:6" x14ac:dyDescent="0.25">
      <c r="D1016" s="1"/>
      <c r="E1016" s="1"/>
      <c r="F1016" s="1"/>
    </row>
    <row r="1017" spans="3:6" x14ac:dyDescent="0.25">
      <c r="D1017" s="1"/>
      <c r="E1017" s="1"/>
      <c r="F1017" s="1"/>
    </row>
    <row r="1018" spans="3:6" x14ac:dyDescent="0.25">
      <c r="D1018" s="1"/>
      <c r="E1018" s="1"/>
      <c r="F1018" s="1"/>
    </row>
    <row r="1019" spans="3:6" x14ac:dyDescent="0.25">
      <c r="D1019" s="1"/>
      <c r="E1019" s="1"/>
      <c r="F1019" s="1"/>
    </row>
    <row r="1020" spans="3:6" x14ac:dyDescent="0.25">
      <c r="D1020" s="1"/>
      <c r="E1020" s="1"/>
      <c r="F1020" s="1"/>
    </row>
    <row r="1021" spans="3:6" x14ac:dyDescent="0.25">
      <c r="D1021" s="1"/>
      <c r="E1021" s="1"/>
      <c r="F1021" s="1"/>
    </row>
    <row r="1022" spans="3:6" x14ac:dyDescent="0.25">
      <c r="D1022" s="1"/>
      <c r="E1022" s="1"/>
      <c r="F1022" s="1"/>
    </row>
    <row r="1023" spans="3:6" x14ac:dyDescent="0.25">
      <c r="D1023" s="1"/>
      <c r="E1023" s="1"/>
      <c r="F1023" s="1"/>
    </row>
    <row r="1024" spans="3:6" x14ac:dyDescent="0.25">
      <c r="D1024" s="1"/>
      <c r="E1024" s="1"/>
      <c r="F1024" s="1"/>
    </row>
    <row r="1025" spans="4:6" x14ac:dyDescent="0.25">
      <c r="D1025" s="1"/>
      <c r="E1025" s="1"/>
      <c r="F1025" s="1"/>
    </row>
    <row r="1026" spans="4:6" x14ac:dyDescent="0.25">
      <c r="D1026" s="1"/>
      <c r="E1026" s="1"/>
      <c r="F1026" s="1"/>
    </row>
    <row r="1027" spans="4:6" x14ac:dyDescent="0.25">
      <c r="D1027" s="1"/>
      <c r="E1027" s="1"/>
      <c r="F1027" s="1"/>
    </row>
    <row r="1028" spans="4:6" x14ac:dyDescent="0.25">
      <c r="D1028" s="1"/>
      <c r="E1028" s="1"/>
      <c r="F1028" s="1"/>
    </row>
    <row r="1029" spans="4:6" x14ac:dyDescent="0.25">
      <c r="D1029" s="1"/>
      <c r="E1029" s="1"/>
      <c r="F1029" s="1"/>
    </row>
    <row r="1030" spans="4:6" x14ac:dyDescent="0.25">
      <c r="D1030" s="1"/>
      <c r="E1030" s="1"/>
      <c r="F1030" s="1"/>
    </row>
    <row r="1031" spans="4:6" x14ac:dyDescent="0.25">
      <c r="D1031" s="1"/>
      <c r="E1031" s="1"/>
      <c r="F1031" s="1"/>
    </row>
    <row r="1032" spans="4:6" x14ac:dyDescent="0.25">
      <c r="D1032" s="1"/>
      <c r="E1032" s="1"/>
      <c r="F1032" s="1"/>
    </row>
    <row r="1033" spans="4:6" x14ac:dyDescent="0.25">
      <c r="D1033" s="1"/>
      <c r="E1033" s="1"/>
      <c r="F1033" s="1"/>
    </row>
    <row r="1034" spans="4:6" x14ac:dyDescent="0.25">
      <c r="D1034" s="1"/>
      <c r="E1034" s="1"/>
      <c r="F1034" s="1"/>
    </row>
    <row r="1035" spans="4:6" x14ac:dyDescent="0.25">
      <c r="D1035" s="1"/>
      <c r="E1035" s="1"/>
      <c r="F1035" s="1"/>
    </row>
    <row r="1036" spans="4:6" x14ac:dyDescent="0.25">
      <c r="D1036" s="1"/>
      <c r="E1036" s="1"/>
      <c r="F1036" s="1"/>
    </row>
    <row r="1037" spans="4:6" x14ac:dyDescent="0.25">
      <c r="D1037" s="1"/>
      <c r="E1037" s="1"/>
      <c r="F1037" s="1"/>
    </row>
    <row r="1038" spans="4:6" x14ac:dyDescent="0.25">
      <c r="D1038" s="1"/>
      <c r="E1038" s="1"/>
      <c r="F1038" s="1"/>
    </row>
    <row r="1039" spans="4:6" x14ac:dyDescent="0.25">
      <c r="D1039" s="1"/>
      <c r="E1039" s="1"/>
      <c r="F1039" s="1"/>
    </row>
    <row r="1040" spans="4:6" x14ac:dyDescent="0.25">
      <c r="D1040" s="1"/>
      <c r="E1040" s="1"/>
      <c r="F1040" s="1"/>
    </row>
    <row r="1041" spans="4:6" x14ac:dyDescent="0.25">
      <c r="D1041" s="1"/>
      <c r="E1041" s="1"/>
      <c r="F1041" s="1"/>
    </row>
    <row r="1042" spans="4:6" x14ac:dyDescent="0.25">
      <c r="D1042" s="1"/>
      <c r="E1042" s="1"/>
      <c r="F1042" s="1"/>
    </row>
    <row r="1043" spans="4:6" x14ac:dyDescent="0.25">
      <c r="D1043" s="1"/>
      <c r="E1043" s="1"/>
      <c r="F1043" s="1"/>
    </row>
    <row r="1044" spans="4:6" x14ac:dyDescent="0.25">
      <c r="D1044" s="1"/>
      <c r="E1044" s="1"/>
      <c r="F1044" s="1"/>
    </row>
    <row r="1045" spans="4:6" x14ac:dyDescent="0.25">
      <c r="D1045" s="1"/>
      <c r="E1045" s="1"/>
      <c r="F1045" s="1"/>
    </row>
    <row r="1046" spans="4:6" x14ac:dyDescent="0.25">
      <c r="D1046" s="1"/>
      <c r="E1046" s="1"/>
      <c r="F1046" s="1"/>
    </row>
    <row r="1047" spans="4:6" x14ac:dyDescent="0.25">
      <c r="D1047" s="1"/>
      <c r="E1047" s="1"/>
      <c r="F1047" s="1"/>
    </row>
    <row r="1048" spans="4:6" x14ac:dyDescent="0.25">
      <c r="D1048" s="1"/>
      <c r="E1048" s="1"/>
      <c r="F1048" s="1"/>
    </row>
    <row r="1049" spans="4:6" x14ac:dyDescent="0.25">
      <c r="D1049" s="1"/>
      <c r="E1049" s="1"/>
      <c r="F1049" s="1"/>
    </row>
    <row r="1050" spans="4:6" x14ac:dyDescent="0.25">
      <c r="D1050" s="1"/>
      <c r="E1050" s="1"/>
      <c r="F1050" s="1"/>
    </row>
    <row r="1051" spans="4:6" x14ac:dyDescent="0.25">
      <c r="D1051" s="1"/>
      <c r="E1051" s="1"/>
      <c r="F1051" s="1"/>
    </row>
    <row r="1052" spans="4:6" x14ac:dyDescent="0.25">
      <c r="D1052" s="1"/>
      <c r="E1052" s="1"/>
      <c r="F1052" s="1"/>
    </row>
    <row r="1053" spans="4:6" x14ac:dyDescent="0.25">
      <c r="D1053" s="1"/>
      <c r="E1053" s="1"/>
      <c r="F1053" s="1"/>
    </row>
    <row r="1054" spans="4:6" x14ac:dyDescent="0.25">
      <c r="D1054" s="1"/>
      <c r="E1054" s="1"/>
      <c r="F1054" s="1"/>
    </row>
    <row r="1055" spans="4:6" x14ac:dyDescent="0.25">
      <c r="D1055" s="1"/>
      <c r="E1055" s="1"/>
      <c r="F1055" s="1"/>
    </row>
    <row r="1056" spans="4:6" x14ac:dyDescent="0.25">
      <c r="D1056" s="1"/>
      <c r="E1056" s="1"/>
      <c r="F1056" s="1"/>
    </row>
    <row r="1057" spans="4:6" x14ac:dyDescent="0.25">
      <c r="D1057" s="1"/>
      <c r="E1057" s="1"/>
      <c r="F1057" s="1"/>
    </row>
    <row r="1058" spans="4:6" x14ac:dyDescent="0.25">
      <c r="D1058" s="1"/>
      <c r="E1058" s="1"/>
      <c r="F1058" s="1"/>
    </row>
    <row r="1059" spans="4:6" x14ac:dyDescent="0.25">
      <c r="D1059" s="1"/>
      <c r="E1059" s="1"/>
      <c r="F1059" s="1"/>
    </row>
    <row r="1060" spans="4:6" x14ac:dyDescent="0.25">
      <c r="D1060" s="1"/>
      <c r="E1060" s="1"/>
      <c r="F1060" s="1"/>
    </row>
    <row r="1061" spans="4:6" x14ac:dyDescent="0.25">
      <c r="D1061" s="1"/>
      <c r="E1061" s="1"/>
      <c r="F1061" s="1"/>
    </row>
    <row r="1062" spans="4:6" x14ac:dyDescent="0.25">
      <c r="D1062" s="1"/>
      <c r="E1062" s="1"/>
      <c r="F1062" s="1"/>
    </row>
    <row r="1063" spans="4:6" x14ac:dyDescent="0.25">
      <c r="D1063" s="1"/>
      <c r="E1063" s="1"/>
      <c r="F1063" s="1"/>
    </row>
    <row r="1064" spans="4:6" x14ac:dyDescent="0.25">
      <c r="D1064" s="1"/>
      <c r="E1064" s="1"/>
      <c r="F1064" s="1"/>
    </row>
    <row r="1065" spans="4:6" x14ac:dyDescent="0.25">
      <c r="D1065" s="1"/>
      <c r="E1065" s="1"/>
      <c r="F1065" s="1"/>
    </row>
    <row r="1066" spans="4:6" x14ac:dyDescent="0.25">
      <c r="D1066" s="1"/>
      <c r="E1066" s="1"/>
      <c r="F1066" s="1"/>
    </row>
    <row r="1067" spans="4:6" x14ac:dyDescent="0.25">
      <c r="D1067" s="1"/>
      <c r="E1067" s="1"/>
      <c r="F1067" s="1"/>
    </row>
    <row r="1068" spans="4:6" x14ac:dyDescent="0.25">
      <c r="D1068" s="1"/>
      <c r="E1068" s="1"/>
      <c r="F1068" s="1"/>
    </row>
    <row r="1069" spans="4:6" x14ac:dyDescent="0.25">
      <c r="D1069" s="1"/>
      <c r="E1069" s="1"/>
      <c r="F1069" s="1"/>
    </row>
    <row r="1070" spans="4:6" x14ac:dyDescent="0.25">
      <c r="D1070" s="1"/>
      <c r="E1070" s="1"/>
      <c r="F1070" s="1"/>
    </row>
    <row r="1071" spans="4:6" x14ac:dyDescent="0.25">
      <c r="D1071" s="1"/>
      <c r="E1071" s="1"/>
      <c r="F1071" s="1"/>
    </row>
    <row r="1072" spans="4:6" x14ac:dyDescent="0.25">
      <c r="D1072" s="1"/>
      <c r="E1072" s="1"/>
      <c r="F1072" s="1"/>
    </row>
    <row r="1073" spans="4:6" x14ac:dyDescent="0.25">
      <c r="D1073" s="1"/>
      <c r="E1073" s="1"/>
      <c r="F1073" s="1"/>
    </row>
    <row r="1074" spans="4:6" x14ac:dyDescent="0.25">
      <c r="D1074" s="1"/>
      <c r="E1074" s="1"/>
      <c r="F1074" s="1"/>
    </row>
    <row r="1075" spans="4:6" x14ac:dyDescent="0.25">
      <c r="D1075" s="1"/>
      <c r="E1075" s="1"/>
      <c r="F1075" s="1"/>
    </row>
    <row r="1076" spans="4:6" x14ac:dyDescent="0.25">
      <c r="D1076" s="1"/>
      <c r="E1076" s="1"/>
      <c r="F1076" s="1"/>
    </row>
    <row r="1077" spans="4:6" x14ac:dyDescent="0.25">
      <c r="D1077" s="1"/>
      <c r="E1077" s="1"/>
      <c r="F1077" s="1"/>
    </row>
    <row r="1078" spans="4:6" x14ac:dyDescent="0.25">
      <c r="D1078" s="1"/>
      <c r="E1078" s="1"/>
      <c r="F1078" s="1"/>
    </row>
    <row r="1079" spans="4:6" x14ac:dyDescent="0.25">
      <c r="D1079" s="1"/>
      <c r="E1079" s="1"/>
      <c r="F1079" s="1"/>
    </row>
    <row r="1080" spans="4:6" x14ac:dyDescent="0.25">
      <c r="D1080" s="1"/>
      <c r="E1080" s="1"/>
      <c r="F1080" s="1"/>
    </row>
    <row r="1081" spans="4:6" x14ac:dyDescent="0.25">
      <c r="D1081" s="1"/>
      <c r="E1081" s="1"/>
      <c r="F1081" s="1"/>
    </row>
    <row r="1082" spans="4:6" x14ac:dyDescent="0.25">
      <c r="D1082" s="1"/>
      <c r="E1082" s="1"/>
      <c r="F1082" s="1"/>
    </row>
    <row r="1083" spans="4:6" x14ac:dyDescent="0.25">
      <c r="D1083" s="1"/>
      <c r="E1083" s="1"/>
      <c r="F1083" s="1"/>
    </row>
    <row r="1084" spans="4:6" x14ac:dyDescent="0.25">
      <c r="D1084" s="1"/>
      <c r="E1084" s="1"/>
      <c r="F1084" s="1"/>
    </row>
    <row r="1085" spans="4:6" x14ac:dyDescent="0.25">
      <c r="D1085" s="1"/>
      <c r="E1085" s="1"/>
      <c r="F1085" s="1"/>
    </row>
    <row r="1086" spans="4:6" x14ac:dyDescent="0.25">
      <c r="D1086" s="1"/>
      <c r="E1086" s="1"/>
      <c r="F1086" s="1"/>
    </row>
    <row r="1087" spans="4:6" x14ac:dyDescent="0.25">
      <c r="D1087" s="1"/>
      <c r="E1087" s="1"/>
      <c r="F1087" s="1"/>
    </row>
    <row r="1088" spans="4:6" x14ac:dyDescent="0.25">
      <c r="D1088" s="1"/>
      <c r="E1088" s="1"/>
      <c r="F1088" s="1"/>
    </row>
    <row r="1089" spans="4:6" x14ac:dyDescent="0.25">
      <c r="D1089" s="1"/>
      <c r="E1089" s="1"/>
      <c r="F1089" s="1"/>
    </row>
    <row r="1090" spans="4:6" x14ac:dyDescent="0.25">
      <c r="D1090" s="1"/>
      <c r="E1090" s="1"/>
      <c r="F1090" s="1"/>
    </row>
    <row r="1091" spans="4:6" x14ac:dyDescent="0.25">
      <c r="D1091" s="1"/>
      <c r="E1091" s="1"/>
      <c r="F1091" s="1"/>
    </row>
    <row r="1092" spans="4:6" x14ac:dyDescent="0.25">
      <c r="D1092" s="1"/>
      <c r="E1092" s="1"/>
      <c r="F1092" s="1"/>
    </row>
    <row r="1093" spans="4:6" x14ac:dyDescent="0.25">
      <c r="D1093" s="1"/>
      <c r="E1093" s="1"/>
      <c r="F1093" s="1"/>
    </row>
    <row r="1094" spans="4:6" x14ac:dyDescent="0.25">
      <c r="D1094" s="1"/>
      <c r="E1094" s="1"/>
      <c r="F1094" s="1"/>
    </row>
    <row r="1095" spans="4:6" x14ac:dyDescent="0.25">
      <c r="D1095" s="1"/>
      <c r="E1095" s="1"/>
      <c r="F1095" s="1"/>
    </row>
    <row r="1096" spans="4:6" x14ac:dyDescent="0.25">
      <c r="D1096" s="1"/>
      <c r="E1096" s="1"/>
      <c r="F1096" s="1"/>
    </row>
    <row r="1097" spans="4:6" x14ac:dyDescent="0.25">
      <c r="D1097" s="1"/>
      <c r="E1097" s="1"/>
      <c r="F1097" s="1"/>
    </row>
    <row r="1098" spans="4:6" x14ac:dyDescent="0.25">
      <c r="D1098" s="1"/>
      <c r="E1098" s="1"/>
      <c r="F1098" s="1"/>
    </row>
    <row r="1099" spans="4:6" x14ac:dyDescent="0.25">
      <c r="D1099" s="1"/>
      <c r="E1099" s="1"/>
      <c r="F1099" s="1"/>
    </row>
    <row r="1100" spans="4:6" x14ac:dyDescent="0.25">
      <c r="D1100" s="1"/>
      <c r="E1100" s="1"/>
      <c r="F1100" s="1"/>
    </row>
    <row r="1101" spans="4:6" x14ac:dyDescent="0.25">
      <c r="D1101" s="1"/>
      <c r="E1101" s="1"/>
      <c r="F1101" s="1"/>
    </row>
    <row r="1102" spans="4:6" x14ac:dyDescent="0.25">
      <c r="D1102" s="1"/>
      <c r="E1102" s="1"/>
      <c r="F1102" s="1"/>
    </row>
    <row r="1103" spans="4:6" x14ac:dyDescent="0.25">
      <c r="D1103" s="1"/>
      <c r="E1103" s="1"/>
      <c r="F1103" s="1"/>
    </row>
    <row r="1104" spans="4:6" x14ac:dyDescent="0.25">
      <c r="D1104" s="1"/>
      <c r="E1104" s="1"/>
      <c r="F1104" s="1"/>
    </row>
    <row r="1105" spans="4:6" x14ac:dyDescent="0.25">
      <c r="D1105" s="1"/>
      <c r="E1105" s="1"/>
      <c r="F1105" s="1"/>
    </row>
    <row r="1106" spans="4:6" x14ac:dyDescent="0.25">
      <c r="D1106" s="1"/>
      <c r="E1106" s="1"/>
      <c r="F1106" s="1"/>
    </row>
    <row r="1107" spans="4:6" x14ac:dyDescent="0.25">
      <c r="D1107" s="1"/>
      <c r="E1107" s="1"/>
      <c r="F1107" s="1"/>
    </row>
    <row r="1108" spans="4:6" x14ac:dyDescent="0.25">
      <c r="D1108" s="1"/>
      <c r="E1108" s="1"/>
      <c r="F1108" s="1"/>
    </row>
    <row r="1109" spans="4:6" x14ac:dyDescent="0.25">
      <c r="D1109" s="1"/>
      <c r="E1109" s="1"/>
      <c r="F1109" s="1"/>
    </row>
    <row r="1110" spans="4:6" x14ac:dyDescent="0.25">
      <c r="D1110" s="1"/>
      <c r="E1110" s="1"/>
      <c r="F1110" s="1"/>
    </row>
    <row r="1111" spans="4:6" x14ac:dyDescent="0.25">
      <c r="D1111" s="1"/>
      <c r="E1111" s="1"/>
      <c r="F1111" s="1"/>
    </row>
    <row r="1112" spans="4:6" x14ac:dyDescent="0.25">
      <c r="D1112" s="1"/>
      <c r="E1112" s="1"/>
      <c r="F1112" s="1"/>
    </row>
    <row r="1113" spans="4:6" x14ac:dyDescent="0.25">
      <c r="D1113" s="1"/>
      <c r="E1113" s="1"/>
      <c r="F1113" s="1"/>
    </row>
    <row r="1114" spans="4:6" x14ac:dyDescent="0.25">
      <c r="D1114" s="1"/>
      <c r="E1114" s="1"/>
      <c r="F1114" s="1"/>
    </row>
    <row r="1115" spans="4:6" x14ac:dyDescent="0.25">
      <c r="D1115" s="1"/>
      <c r="E1115" s="1"/>
      <c r="F1115" s="1"/>
    </row>
    <row r="1116" spans="4:6" x14ac:dyDescent="0.25">
      <c r="D1116" s="1"/>
      <c r="E1116" s="1"/>
      <c r="F1116" s="1"/>
    </row>
    <row r="1117" spans="4:6" x14ac:dyDescent="0.25">
      <c r="D1117" s="1"/>
      <c r="E1117" s="1"/>
      <c r="F1117" s="1"/>
    </row>
    <row r="1118" spans="4:6" x14ac:dyDescent="0.25">
      <c r="D1118" s="1"/>
      <c r="E1118" s="1"/>
      <c r="F1118" s="1"/>
    </row>
    <row r="1119" spans="4:6" x14ac:dyDescent="0.25">
      <c r="D1119" s="1"/>
      <c r="E1119" s="1"/>
      <c r="F1119" s="1"/>
    </row>
    <row r="1120" spans="4:6" x14ac:dyDescent="0.25">
      <c r="D1120" s="1"/>
      <c r="E1120" s="1"/>
      <c r="F1120" s="1"/>
    </row>
    <row r="1121" spans="4:6" x14ac:dyDescent="0.25">
      <c r="D1121" s="1"/>
      <c r="E1121" s="1"/>
      <c r="F1121" s="1"/>
    </row>
    <row r="1122" spans="4:6" x14ac:dyDescent="0.25">
      <c r="D1122" s="1"/>
      <c r="E1122" s="1"/>
      <c r="F1122" s="1"/>
    </row>
    <row r="1123" spans="4:6" x14ac:dyDescent="0.25">
      <c r="D1123" s="1"/>
      <c r="E1123" s="1"/>
      <c r="F1123" s="1"/>
    </row>
    <row r="1124" spans="4:6" x14ac:dyDescent="0.25">
      <c r="D1124" s="1"/>
      <c r="E1124" s="1"/>
      <c r="F1124" s="1"/>
    </row>
    <row r="1125" spans="4:6" x14ac:dyDescent="0.25">
      <c r="D1125" s="1"/>
      <c r="E1125" s="1"/>
      <c r="F1125" s="1"/>
    </row>
    <row r="1126" spans="4:6" x14ac:dyDescent="0.25">
      <c r="D1126" s="1"/>
      <c r="E1126" s="1"/>
      <c r="F1126" s="1"/>
    </row>
    <row r="1127" spans="4:6" x14ac:dyDescent="0.25">
      <c r="D1127" s="1"/>
      <c r="E1127" s="1"/>
      <c r="F1127" s="1"/>
    </row>
    <row r="1128" spans="4:6" x14ac:dyDescent="0.25">
      <c r="D1128" s="1"/>
      <c r="E1128" s="1"/>
      <c r="F1128" s="1"/>
    </row>
    <row r="1129" spans="4:6" x14ac:dyDescent="0.25">
      <c r="D1129" s="1"/>
      <c r="E1129" s="1"/>
      <c r="F1129" s="1"/>
    </row>
    <row r="1130" spans="4:6" x14ac:dyDescent="0.25">
      <c r="D1130" s="1"/>
      <c r="E1130" s="1"/>
      <c r="F1130" s="1"/>
    </row>
    <row r="1131" spans="4:6" x14ac:dyDescent="0.25">
      <c r="D1131" s="1"/>
      <c r="E1131" s="1"/>
      <c r="F1131" s="1"/>
    </row>
    <row r="1132" spans="4:6" x14ac:dyDescent="0.25">
      <c r="D1132" s="1"/>
      <c r="E1132" s="1"/>
      <c r="F1132" s="1"/>
    </row>
    <row r="1133" spans="4:6" x14ac:dyDescent="0.25">
      <c r="D1133" s="1"/>
      <c r="E1133" s="1"/>
      <c r="F1133" s="1"/>
    </row>
    <row r="1134" spans="4:6" x14ac:dyDescent="0.25">
      <c r="D1134" s="1"/>
      <c r="E1134" s="1"/>
      <c r="F1134" s="1"/>
    </row>
    <row r="1135" spans="4:6" x14ac:dyDescent="0.25">
      <c r="D1135" s="1"/>
      <c r="E1135" s="1"/>
      <c r="F1135" s="1"/>
    </row>
    <row r="1136" spans="4:6" x14ac:dyDescent="0.25">
      <c r="D1136" s="1"/>
      <c r="E1136" s="1"/>
      <c r="F1136" s="1"/>
    </row>
    <row r="1137" spans="4:6" x14ac:dyDescent="0.25">
      <c r="D1137" s="1"/>
      <c r="E1137" s="1"/>
      <c r="F1137" s="1"/>
    </row>
    <row r="1138" spans="4:6" x14ac:dyDescent="0.25">
      <c r="D1138" s="1"/>
      <c r="E1138" s="1"/>
      <c r="F1138" s="1"/>
    </row>
    <row r="1139" spans="4:6" x14ac:dyDescent="0.25">
      <c r="D1139" s="1"/>
      <c r="E1139" s="1"/>
      <c r="F1139" s="1"/>
    </row>
    <row r="1140" spans="4:6" x14ac:dyDescent="0.25">
      <c r="D1140" s="1"/>
      <c r="E1140" s="1"/>
      <c r="F1140" s="1"/>
    </row>
    <row r="1141" spans="4:6" x14ac:dyDescent="0.25">
      <c r="D1141" s="1"/>
      <c r="E1141" s="1"/>
      <c r="F1141" s="1"/>
    </row>
    <row r="1142" spans="4:6" x14ac:dyDescent="0.25">
      <c r="D1142" s="1"/>
      <c r="E1142" s="1"/>
      <c r="F1142" s="1"/>
    </row>
    <row r="1143" spans="4:6" x14ac:dyDescent="0.25">
      <c r="D1143" s="1"/>
      <c r="E1143" s="1"/>
      <c r="F1143" s="1"/>
    </row>
    <row r="1144" spans="4:6" x14ac:dyDescent="0.25">
      <c r="D1144" s="1"/>
      <c r="E1144" s="1"/>
      <c r="F1144" s="1"/>
    </row>
    <row r="1145" spans="4:6" x14ac:dyDescent="0.25">
      <c r="D1145" s="1"/>
      <c r="E1145" s="1"/>
      <c r="F1145" s="1"/>
    </row>
    <row r="1146" spans="4:6" x14ac:dyDescent="0.25">
      <c r="D1146" s="1"/>
      <c r="E1146" s="1"/>
      <c r="F1146" s="1"/>
    </row>
    <row r="1147" spans="4:6" x14ac:dyDescent="0.25">
      <c r="D1147" s="1"/>
      <c r="E1147" s="1"/>
      <c r="F1147" s="1"/>
    </row>
    <row r="1148" spans="4:6" x14ac:dyDescent="0.25">
      <c r="D1148" s="1"/>
      <c r="E1148" s="1"/>
      <c r="F1148" s="1"/>
    </row>
    <row r="1149" spans="4:6" x14ac:dyDescent="0.25">
      <c r="D1149" s="1"/>
      <c r="E1149" s="1"/>
      <c r="F1149" s="1"/>
    </row>
    <row r="1150" spans="4:6" x14ac:dyDescent="0.25">
      <c r="D1150" s="1"/>
      <c r="E1150" s="1"/>
      <c r="F1150" s="1"/>
    </row>
    <row r="1151" spans="4:6" x14ac:dyDescent="0.25">
      <c r="D1151" s="1"/>
      <c r="E1151" s="1"/>
      <c r="F1151" s="1"/>
    </row>
    <row r="1152" spans="4:6" x14ac:dyDescent="0.25">
      <c r="D1152" s="1"/>
      <c r="E1152" s="1"/>
      <c r="F1152" s="1"/>
    </row>
    <row r="1153" spans="4:6" x14ac:dyDescent="0.25">
      <c r="D1153" s="1"/>
      <c r="E1153" s="1"/>
      <c r="F1153" s="1"/>
    </row>
    <row r="1154" spans="4:6" x14ac:dyDescent="0.25">
      <c r="D1154" s="1"/>
      <c r="E1154" s="1"/>
      <c r="F1154" s="1"/>
    </row>
    <row r="1155" spans="4:6" x14ac:dyDescent="0.25">
      <c r="D1155" s="1"/>
      <c r="E1155" s="1"/>
      <c r="F1155" s="1"/>
    </row>
    <row r="1156" spans="4:6" x14ac:dyDescent="0.25">
      <c r="D1156" s="1"/>
      <c r="E1156" s="1"/>
      <c r="F1156" s="1"/>
    </row>
    <row r="1157" spans="4:6" x14ac:dyDescent="0.25">
      <c r="D1157" s="1"/>
      <c r="E1157" s="1"/>
      <c r="F1157" s="1"/>
    </row>
    <row r="1158" spans="4:6" x14ac:dyDescent="0.25">
      <c r="D1158" s="1"/>
      <c r="E1158" s="1"/>
      <c r="F1158" s="1"/>
    </row>
    <row r="1159" spans="4:6" x14ac:dyDescent="0.25">
      <c r="D1159" s="1"/>
      <c r="E1159" s="1"/>
      <c r="F1159" s="1"/>
    </row>
    <row r="1160" spans="4:6" x14ac:dyDescent="0.25">
      <c r="D1160" s="1"/>
      <c r="E1160" s="1"/>
      <c r="F1160" s="1"/>
    </row>
    <row r="1161" spans="4:6" x14ac:dyDescent="0.25">
      <c r="D1161" s="1"/>
      <c r="E1161" s="1"/>
      <c r="F1161" s="1"/>
    </row>
    <row r="1162" spans="4:6" x14ac:dyDescent="0.25">
      <c r="D1162" s="1"/>
      <c r="E1162" s="1"/>
      <c r="F1162" s="1"/>
    </row>
    <row r="1163" spans="4:6" x14ac:dyDescent="0.25">
      <c r="D1163" s="1"/>
      <c r="E1163" s="1"/>
      <c r="F1163" s="1"/>
    </row>
    <row r="1164" spans="4:6" x14ac:dyDescent="0.25">
      <c r="D1164" s="1"/>
      <c r="E1164" s="1"/>
      <c r="F1164" s="1"/>
    </row>
    <row r="1165" spans="4:6" x14ac:dyDescent="0.25">
      <c r="D1165" s="1"/>
      <c r="E1165" s="1"/>
      <c r="F1165" s="1"/>
    </row>
    <row r="1166" spans="4:6" x14ac:dyDescent="0.25">
      <c r="D1166" s="1"/>
      <c r="E1166" s="1"/>
      <c r="F1166" s="1"/>
    </row>
    <row r="1167" spans="4:6" x14ac:dyDescent="0.25">
      <c r="D1167" s="1"/>
      <c r="E1167" s="1"/>
      <c r="F1167" s="1"/>
    </row>
    <row r="1168" spans="4:6" x14ac:dyDescent="0.25">
      <c r="D1168" s="1"/>
      <c r="E1168" s="1"/>
      <c r="F1168" s="1"/>
    </row>
    <row r="1169" spans="4:6" x14ac:dyDescent="0.25">
      <c r="D1169" s="1"/>
      <c r="E1169" s="1"/>
      <c r="F1169" s="1"/>
    </row>
    <row r="1170" spans="4:6" x14ac:dyDescent="0.25">
      <c r="D1170" s="1"/>
      <c r="E1170" s="1"/>
      <c r="F1170" s="1"/>
    </row>
    <row r="1171" spans="4:6" x14ac:dyDescent="0.25">
      <c r="D1171" s="1"/>
      <c r="E1171" s="1"/>
      <c r="F1171" s="1"/>
    </row>
    <row r="1172" spans="4:6" x14ac:dyDescent="0.25">
      <c r="D1172" s="1"/>
      <c r="E1172" s="1"/>
      <c r="F1172" s="1"/>
    </row>
    <row r="1173" spans="4:6" x14ac:dyDescent="0.25">
      <c r="D1173" s="1"/>
      <c r="E1173" s="1"/>
      <c r="F1173" s="1"/>
    </row>
    <row r="1174" spans="4:6" x14ac:dyDescent="0.25">
      <c r="D1174" s="1"/>
      <c r="E1174" s="1"/>
      <c r="F1174" s="1"/>
    </row>
    <row r="1175" spans="4:6" x14ac:dyDescent="0.25">
      <c r="D1175" s="1"/>
      <c r="E1175" s="1"/>
      <c r="F1175" s="1"/>
    </row>
    <row r="1176" spans="4:6" x14ac:dyDescent="0.25">
      <c r="D1176" s="1"/>
      <c r="E1176" s="1"/>
      <c r="F1176" s="1"/>
    </row>
    <row r="1177" spans="4:6" x14ac:dyDescent="0.25">
      <c r="D1177" s="1"/>
      <c r="E1177" s="1"/>
      <c r="F1177" s="1"/>
    </row>
    <row r="1178" spans="4:6" x14ac:dyDescent="0.25">
      <c r="D1178" s="1"/>
      <c r="E1178" s="1"/>
      <c r="F1178" s="1"/>
    </row>
    <row r="1179" spans="4:6" x14ac:dyDescent="0.25">
      <c r="D1179" s="1"/>
      <c r="E1179" s="1"/>
      <c r="F1179" s="1"/>
    </row>
    <row r="1180" spans="4:6" x14ac:dyDescent="0.25">
      <c r="D1180" s="1"/>
      <c r="E1180" s="1"/>
      <c r="F1180" s="1"/>
    </row>
    <row r="1181" spans="4:6" x14ac:dyDescent="0.25">
      <c r="D1181" s="1"/>
      <c r="E1181" s="1"/>
      <c r="F1181" s="1"/>
    </row>
    <row r="1182" spans="4:6" x14ac:dyDescent="0.25">
      <c r="D1182" s="1"/>
      <c r="E1182" s="1"/>
      <c r="F1182" s="1"/>
    </row>
    <row r="1183" spans="4:6" x14ac:dyDescent="0.25">
      <c r="D1183" s="1"/>
      <c r="E1183" s="1"/>
      <c r="F1183" s="1"/>
    </row>
    <row r="1184" spans="4:6" x14ac:dyDescent="0.25">
      <c r="D1184" s="1"/>
      <c r="E1184" s="1"/>
      <c r="F1184" s="1"/>
    </row>
    <row r="1185" spans="4:6" x14ac:dyDescent="0.25">
      <c r="D1185" s="1"/>
      <c r="E1185" s="1"/>
      <c r="F1185" s="1"/>
    </row>
    <row r="1186" spans="4:6" x14ac:dyDescent="0.25">
      <c r="D1186" s="1"/>
      <c r="E1186" s="1"/>
      <c r="F1186" s="1"/>
    </row>
    <row r="1187" spans="4:6" x14ac:dyDescent="0.25">
      <c r="D1187" s="1"/>
      <c r="E1187" s="1"/>
      <c r="F1187" s="1"/>
    </row>
    <row r="1188" spans="4:6" x14ac:dyDescent="0.25">
      <c r="D1188" s="1"/>
      <c r="E1188" s="1"/>
      <c r="F1188" s="1"/>
    </row>
    <row r="1189" spans="4:6" x14ac:dyDescent="0.25">
      <c r="D1189" s="1"/>
      <c r="E1189" s="1"/>
      <c r="F1189" s="1"/>
    </row>
    <row r="1190" spans="4:6" x14ac:dyDescent="0.25">
      <c r="D1190" s="1"/>
      <c r="E1190" s="1"/>
      <c r="F1190" s="1"/>
    </row>
    <row r="1191" spans="4:6" x14ac:dyDescent="0.25">
      <c r="D1191" s="1"/>
      <c r="E1191" s="1"/>
      <c r="F1191" s="1"/>
    </row>
    <row r="1192" spans="4:6" x14ac:dyDescent="0.25">
      <c r="D1192" s="1"/>
      <c r="E1192" s="1"/>
      <c r="F1192" s="1"/>
    </row>
    <row r="1193" spans="4:6" x14ac:dyDescent="0.25">
      <c r="D1193" s="1"/>
      <c r="E1193" s="1"/>
      <c r="F1193" s="1"/>
    </row>
    <row r="1194" spans="4:6" x14ac:dyDescent="0.25">
      <c r="D1194" s="1"/>
      <c r="E1194" s="1"/>
      <c r="F1194" s="1"/>
    </row>
    <row r="1195" spans="4:6" x14ac:dyDescent="0.25">
      <c r="D1195" s="1"/>
      <c r="E1195" s="1"/>
      <c r="F1195" s="1"/>
    </row>
    <row r="1196" spans="4:6" x14ac:dyDescent="0.25">
      <c r="D1196" s="1"/>
      <c r="E1196" s="1"/>
      <c r="F1196" s="1"/>
    </row>
    <row r="1197" spans="4:6" x14ac:dyDescent="0.25">
      <c r="D1197" s="1"/>
      <c r="E1197" s="1"/>
      <c r="F1197" s="1"/>
    </row>
    <row r="1198" spans="4:6" x14ac:dyDescent="0.25">
      <c r="D1198" s="1"/>
      <c r="E1198" s="1"/>
      <c r="F1198" s="1"/>
    </row>
    <row r="1199" spans="4:6" x14ac:dyDescent="0.25">
      <c r="D1199" s="1"/>
      <c r="E1199" s="1"/>
      <c r="F1199" s="1"/>
    </row>
    <row r="1200" spans="4:6" x14ac:dyDescent="0.25">
      <c r="D1200" s="1"/>
      <c r="E1200" s="1"/>
      <c r="F1200" s="1"/>
    </row>
    <row r="1201" spans="4:6" x14ac:dyDescent="0.25">
      <c r="D1201" s="1"/>
      <c r="E1201" s="1"/>
      <c r="F1201" s="1"/>
    </row>
    <row r="1202" spans="4:6" x14ac:dyDescent="0.25">
      <c r="D1202" s="1"/>
      <c r="E1202" s="1"/>
      <c r="F1202" s="1"/>
    </row>
    <row r="1203" spans="4:6" x14ac:dyDescent="0.25">
      <c r="D1203" s="1"/>
      <c r="E1203" s="1"/>
      <c r="F1203" s="1"/>
    </row>
    <row r="1204" spans="4:6" x14ac:dyDescent="0.25">
      <c r="D1204" s="1"/>
      <c r="E1204" s="1"/>
      <c r="F1204" s="1"/>
    </row>
    <row r="1205" spans="4:6" x14ac:dyDescent="0.25">
      <c r="D1205" s="1"/>
      <c r="E1205" s="1"/>
      <c r="F1205" s="1"/>
    </row>
    <row r="1206" spans="4:6" x14ac:dyDescent="0.25">
      <c r="D1206" s="1"/>
      <c r="E1206" s="1"/>
      <c r="F1206" s="1"/>
    </row>
    <row r="1207" spans="4:6" x14ac:dyDescent="0.25">
      <c r="D1207" s="1"/>
      <c r="E1207" s="1"/>
      <c r="F1207" s="1"/>
    </row>
    <row r="1208" spans="4:6" x14ac:dyDescent="0.25">
      <c r="D1208" s="1"/>
      <c r="E1208" s="1"/>
      <c r="F1208" s="1"/>
    </row>
    <row r="1209" spans="4:6" x14ac:dyDescent="0.25">
      <c r="D1209" s="1"/>
      <c r="E1209" s="1"/>
      <c r="F1209" s="1"/>
    </row>
    <row r="1210" spans="4:6" x14ac:dyDescent="0.25">
      <c r="D1210" s="1"/>
      <c r="E1210" s="1"/>
      <c r="F1210" s="1"/>
    </row>
    <row r="1211" spans="4:6" x14ac:dyDescent="0.25">
      <c r="D1211" s="1"/>
      <c r="E1211" s="1"/>
      <c r="F1211" s="1"/>
    </row>
    <row r="1212" spans="4:6" x14ac:dyDescent="0.25">
      <c r="D1212" s="1"/>
      <c r="E1212" s="1"/>
      <c r="F1212" s="1"/>
    </row>
    <row r="1213" spans="4:6" x14ac:dyDescent="0.25">
      <c r="D1213" s="1"/>
      <c r="E1213" s="1"/>
      <c r="F1213" s="1"/>
    </row>
    <row r="1214" spans="4:6" x14ac:dyDescent="0.25">
      <c r="D1214" s="1"/>
      <c r="E1214" s="1"/>
      <c r="F1214" s="1"/>
    </row>
    <row r="1215" spans="4:6" x14ac:dyDescent="0.25">
      <c r="D1215" s="1"/>
      <c r="E1215" s="1"/>
      <c r="F1215" s="1"/>
    </row>
    <row r="1216" spans="4:6" x14ac:dyDescent="0.25">
      <c r="D1216" s="1"/>
      <c r="E1216" s="1"/>
      <c r="F1216" s="1"/>
    </row>
    <row r="1217" spans="4:6" x14ac:dyDescent="0.25">
      <c r="D1217" s="1"/>
      <c r="E1217" s="1"/>
      <c r="F1217" s="1"/>
    </row>
    <row r="1218" spans="4:6" x14ac:dyDescent="0.25">
      <c r="D1218" s="1"/>
      <c r="E1218" s="1"/>
      <c r="F1218" s="1"/>
    </row>
    <row r="1219" spans="4:6" x14ac:dyDescent="0.25">
      <c r="D1219" s="1"/>
      <c r="E1219" s="1"/>
      <c r="F1219" s="1"/>
    </row>
    <row r="1220" spans="4:6" x14ac:dyDescent="0.25">
      <c r="D1220" s="1"/>
      <c r="E1220" s="1"/>
      <c r="F1220" s="1"/>
    </row>
    <row r="1221" spans="4:6" x14ac:dyDescent="0.25">
      <c r="D1221" s="1"/>
      <c r="E1221" s="1"/>
      <c r="F1221" s="1"/>
    </row>
    <row r="1222" spans="4:6" x14ac:dyDescent="0.25">
      <c r="D1222" s="1"/>
      <c r="E1222" s="1"/>
      <c r="F1222" s="1"/>
    </row>
    <row r="1223" spans="4:6" x14ac:dyDescent="0.25">
      <c r="D1223" s="1"/>
      <c r="E1223" s="1"/>
      <c r="F1223" s="1"/>
    </row>
    <row r="1224" spans="4:6" x14ac:dyDescent="0.25">
      <c r="D1224" s="1"/>
      <c r="E1224" s="1"/>
      <c r="F1224" s="1"/>
    </row>
    <row r="1225" spans="4:6" x14ac:dyDescent="0.25">
      <c r="D1225" s="1"/>
      <c r="E1225" s="1"/>
      <c r="F1225" s="1"/>
    </row>
    <row r="1226" spans="4:6" x14ac:dyDescent="0.25">
      <c r="D1226" s="1"/>
      <c r="E1226" s="1"/>
      <c r="F1226" s="1"/>
    </row>
    <row r="1227" spans="4:6" x14ac:dyDescent="0.25">
      <c r="D1227" s="1"/>
      <c r="E1227" s="1"/>
      <c r="F1227" s="1"/>
    </row>
    <row r="1228" spans="4:6" x14ac:dyDescent="0.25">
      <c r="D1228" s="1"/>
      <c r="E1228" s="1"/>
      <c r="F1228" s="1"/>
    </row>
    <row r="1229" spans="4:6" x14ac:dyDescent="0.25">
      <c r="D1229" s="1"/>
      <c r="E1229" s="1"/>
      <c r="F1229" s="1"/>
    </row>
    <row r="1230" spans="4:6" x14ac:dyDescent="0.25">
      <c r="D1230" s="1"/>
      <c r="E1230" s="1"/>
      <c r="F1230" s="1"/>
    </row>
    <row r="1231" spans="4:6" x14ac:dyDescent="0.25">
      <c r="D1231" s="1"/>
      <c r="E1231" s="1"/>
      <c r="F1231" s="1"/>
    </row>
    <row r="1232" spans="4:6" x14ac:dyDescent="0.25">
      <c r="D1232" s="1"/>
      <c r="E1232" s="1"/>
      <c r="F1232" s="1"/>
    </row>
    <row r="1233" spans="4:6" x14ac:dyDescent="0.25">
      <c r="D1233" s="1"/>
      <c r="E1233" s="1"/>
      <c r="F1233" s="1"/>
    </row>
    <row r="1234" spans="4:6" x14ac:dyDescent="0.25">
      <c r="D1234" s="1"/>
      <c r="E1234" s="1"/>
      <c r="F1234" s="1"/>
    </row>
    <row r="1235" spans="4:6" x14ac:dyDescent="0.25">
      <c r="D1235" s="1"/>
      <c r="E1235" s="1"/>
      <c r="F1235" s="1"/>
    </row>
    <row r="1236" spans="4:6" x14ac:dyDescent="0.25">
      <c r="D1236" s="1"/>
      <c r="E1236" s="1"/>
      <c r="F1236" s="1"/>
    </row>
    <row r="1237" spans="4:6" x14ac:dyDescent="0.25">
      <c r="D1237" s="1"/>
      <c r="E1237" s="1"/>
      <c r="F1237" s="1"/>
    </row>
    <row r="1238" spans="4:6" x14ac:dyDescent="0.25">
      <c r="D1238" s="1"/>
      <c r="E1238" s="1"/>
      <c r="F1238" s="1"/>
    </row>
    <row r="1239" spans="4:6" x14ac:dyDescent="0.25">
      <c r="D1239" s="1"/>
      <c r="E1239" s="1"/>
      <c r="F1239" s="1"/>
    </row>
    <row r="1240" spans="4:6" x14ac:dyDescent="0.25">
      <c r="D1240" s="1"/>
      <c r="E1240" s="1"/>
      <c r="F1240" s="1"/>
    </row>
    <row r="1241" spans="4:6" x14ac:dyDescent="0.25">
      <c r="D1241" s="1"/>
      <c r="E1241" s="1"/>
      <c r="F1241" s="1"/>
    </row>
    <row r="1242" spans="4:6" x14ac:dyDescent="0.25">
      <c r="D1242" s="1"/>
      <c r="E1242" s="1"/>
      <c r="F1242" s="1"/>
    </row>
    <row r="1243" spans="4:6" x14ac:dyDescent="0.25">
      <c r="D1243" s="1"/>
      <c r="E1243" s="1"/>
      <c r="F1243" s="1"/>
    </row>
    <row r="1244" spans="4:6" x14ac:dyDescent="0.25">
      <c r="D1244" s="1"/>
      <c r="E1244" s="1"/>
      <c r="F1244" s="1"/>
    </row>
    <row r="1245" spans="4:6" x14ac:dyDescent="0.25">
      <c r="D1245" s="1"/>
      <c r="E1245" s="1"/>
      <c r="F1245" s="1"/>
    </row>
    <row r="1246" spans="4:6" x14ac:dyDescent="0.25">
      <c r="D1246" s="1"/>
      <c r="E1246" s="1"/>
      <c r="F1246" s="1"/>
    </row>
    <row r="1247" spans="4:6" x14ac:dyDescent="0.25">
      <c r="D1247" s="1"/>
      <c r="E1247" s="1"/>
      <c r="F1247" s="1"/>
    </row>
    <row r="1248" spans="4:6" x14ac:dyDescent="0.25">
      <c r="D1248" s="1"/>
      <c r="E1248" s="1"/>
      <c r="F1248" s="1"/>
    </row>
    <row r="1249" spans="4:6" x14ac:dyDescent="0.25">
      <c r="D1249" s="1"/>
      <c r="E1249" s="1"/>
      <c r="F1249" s="1"/>
    </row>
    <row r="1250" spans="4:6" x14ac:dyDescent="0.25">
      <c r="D1250" s="1"/>
      <c r="E1250" s="1"/>
      <c r="F1250" s="1"/>
    </row>
    <row r="1251" spans="4:6" x14ac:dyDescent="0.25">
      <c r="D1251" s="1"/>
      <c r="E1251" s="1"/>
      <c r="F1251" s="1"/>
    </row>
    <row r="1252" spans="4:6" x14ac:dyDescent="0.25">
      <c r="D1252" s="1"/>
      <c r="E1252" s="1"/>
      <c r="F1252" s="1"/>
    </row>
    <row r="1253" spans="4:6" x14ac:dyDescent="0.25">
      <c r="D1253" s="1"/>
      <c r="E1253" s="1"/>
      <c r="F1253" s="1"/>
    </row>
    <row r="1254" spans="4:6" x14ac:dyDescent="0.25">
      <c r="D1254" s="1"/>
      <c r="E1254" s="1"/>
      <c r="F1254" s="1"/>
    </row>
    <row r="1255" spans="4:6" x14ac:dyDescent="0.25">
      <c r="D1255" s="1"/>
      <c r="E1255" s="1"/>
      <c r="F1255" s="1"/>
    </row>
    <row r="1256" spans="4:6" x14ac:dyDescent="0.25">
      <c r="D1256" s="1"/>
      <c r="E1256" s="1"/>
      <c r="F1256" s="1"/>
    </row>
    <row r="1257" spans="4:6" x14ac:dyDescent="0.25">
      <c r="D1257" s="1"/>
      <c r="E1257" s="1"/>
      <c r="F1257" s="1"/>
    </row>
    <row r="1258" spans="4:6" x14ac:dyDescent="0.25">
      <c r="D1258" s="1"/>
      <c r="E1258" s="1"/>
      <c r="F1258" s="1"/>
    </row>
    <row r="1259" spans="4:6" x14ac:dyDescent="0.25">
      <c r="D1259" s="1"/>
      <c r="E1259" s="1"/>
      <c r="F1259" s="1"/>
    </row>
    <row r="1260" spans="4:6" x14ac:dyDescent="0.25">
      <c r="D1260" s="1"/>
      <c r="E1260" s="1"/>
      <c r="F1260" s="1"/>
    </row>
    <row r="1261" spans="4:6" x14ac:dyDescent="0.25">
      <c r="D1261" s="1"/>
      <c r="E1261" s="1"/>
      <c r="F1261" s="1"/>
    </row>
    <row r="1262" spans="4:6" x14ac:dyDescent="0.25">
      <c r="D1262" s="1"/>
      <c r="E1262" s="1"/>
      <c r="F1262" s="1"/>
    </row>
    <row r="1263" spans="4:6" x14ac:dyDescent="0.25">
      <c r="D1263" s="1"/>
      <c r="E1263" s="1"/>
      <c r="F1263" s="1"/>
    </row>
    <row r="1264" spans="4:6" x14ac:dyDescent="0.25">
      <c r="D1264" s="1"/>
      <c r="E1264" s="1"/>
      <c r="F1264" s="1"/>
    </row>
    <row r="1265" spans="4:6" x14ac:dyDescent="0.25">
      <c r="D1265" s="1"/>
      <c r="E1265" s="1"/>
      <c r="F1265" s="1"/>
    </row>
    <row r="1266" spans="4:6" x14ac:dyDescent="0.25">
      <c r="D1266" s="1"/>
      <c r="E1266" s="1"/>
      <c r="F1266" s="1"/>
    </row>
    <row r="1267" spans="4:6" x14ac:dyDescent="0.25">
      <c r="D1267" s="1"/>
      <c r="E1267" s="1"/>
      <c r="F1267" s="1"/>
    </row>
    <row r="1268" spans="4:6" x14ac:dyDescent="0.25">
      <c r="D1268" s="1"/>
      <c r="E1268" s="1"/>
      <c r="F1268" s="1"/>
    </row>
    <row r="1269" spans="4:6" x14ac:dyDescent="0.25">
      <c r="D1269" s="1"/>
      <c r="E1269" s="1"/>
      <c r="F1269" s="1"/>
    </row>
    <row r="1270" spans="4:6" x14ac:dyDescent="0.25">
      <c r="D1270" s="1"/>
      <c r="E1270" s="1"/>
      <c r="F1270" s="1"/>
    </row>
    <row r="1271" spans="4:6" x14ac:dyDescent="0.25">
      <c r="D1271" s="1"/>
      <c r="E1271" s="1"/>
      <c r="F1271" s="1"/>
    </row>
    <row r="1272" spans="4:6" x14ac:dyDescent="0.25">
      <c r="D1272" s="1"/>
      <c r="E1272" s="1"/>
      <c r="F1272" s="1"/>
    </row>
    <row r="1273" spans="4:6" x14ac:dyDescent="0.25">
      <c r="D1273" s="1"/>
      <c r="E1273" s="1"/>
      <c r="F1273" s="1"/>
    </row>
    <row r="1274" spans="4:6" x14ac:dyDescent="0.25">
      <c r="D1274" s="1"/>
      <c r="E1274" s="1"/>
      <c r="F1274" s="1"/>
    </row>
    <row r="1275" spans="4:6" x14ac:dyDescent="0.25">
      <c r="D1275" s="1"/>
      <c r="E1275" s="1"/>
      <c r="F1275" s="1"/>
    </row>
    <row r="1276" spans="4:6" x14ac:dyDescent="0.25">
      <c r="D1276" s="1"/>
      <c r="E1276" s="1"/>
      <c r="F1276" s="1"/>
    </row>
    <row r="1277" spans="4:6" x14ac:dyDescent="0.25">
      <c r="D1277" s="1"/>
      <c r="E1277" s="1"/>
      <c r="F1277" s="1"/>
    </row>
    <row r="1278" spans="4:6" x14ac:dyDescent="0.25">
      <c r="D1278" s="1"/>
      <c r="E1278" s="1"/>
      <c r="F1278" s="1"/>
    </row>
    <row r="1279" spans="4:6" x14ac:dyDescent="0.25">
      <c r="D1279" s="1"/>
      <c r="E1279" s="1"/>
      <c r="F1279" s="1"/>
    </row>
    <row r="1280" spans="4:6" x14ac:dyDescent="0.25">
      <c r="D1280" s="1"/>
      <c r="E1280" s="1"/>
      <c r="F1280" s="1"/>
    </row>
    <row r="1281" spans="4:6" x14ac:dyDescent="0.25">
      <c r="D1281" s="1"/>
      <c r="E1281" s="1"/>
      <c r="F1281" s="1"/>
    </row>
    <row r="1282" spans="4:6" x14ac:dyDescent="0.25">
      <c r="D1282" s="1"/>
      <c r="E1282" s="1"/>
      <c r="F1282" s="1"/>
    </row>
    <row r="1283" spans="4:6" x14ac:dyDescent="0.25">
      <c r="D1283" s="1"/>
      <c r="E1283" s="1"/>
      <c r="F1283" s="1"/>
    </row>
    <row r="1284" spans="4:6" x14ac:dyDescent="0.25">
      <c r="D1284" s="1"/>
      <c r="E1284" s="1"/>
      <c r="F1284" s="1"/>
    </row>
    <row r="1285" spans="4:6" x14ac:dyDescent="0.25">
      <c r="D1285" s="1"/>
      <c r="E1285" s="1"/>
      <c r="F1285" s="1"/>
    </row>
    <row r="1286" spans="4:6" x14ac:dyDescent="0.25">
      <c r="D1286" s="1"/>
      <c r="E1286" s="1"/>
      <c r="F1286" s="1"/>
    </row>
    <row r="1287" spans="4:6" x14ac:dyDescent="0.25">
      <c r="D1287" s="1"/>
      <c r="E1287" s="1"/>
      <c r="F1287" s="1"/>
    </row>
    <row r="1288" spans="4:6" x14ac:dyDescent="0.25">
      <c r="D1288" s="1"/>
      <c r="E1288" s="1"/>
      <c r="F1288" s="1"/>
    </row>
    <row r="1289" spans="4:6" x14ac:dyDescent="0.25">
      <c r="D1289" s="1"/>
      <c r="E1289" s="1"/>
      <c r="F1289" s="1"/>
    </row>
    <row r="1290" spans="4:6" x14ac:dyDescent="0.25">
      <c r="D1290" s="1"/>
      <c r="E1290" s="1"/>
      <c r="F1290" s="1"/>
    </row>
    <row r="1291" spans="4:6" x14ac:dyDescent="0.25">
      <c r="D1291" s="1"/>
      <c r="E1291" s="1"/>
      <c r="F1291" s="1"/>
    </row>
    <row r="1292" spans="4:6" x14ac:dyDescent="0.25">
      <c r="D1292" s="1"/>
      <c r="E1292" s="1"/>
      <c r="F1292" s="1"/>
    </row>
    <row r="1293" spans="4:6" x14ac:dyDescent="0.25">
      <c r="D1293" s="1"/>
      <c r="E1293" s="1"/>
      <c r="F1293" s="1"/>
    </row>
    <row r="1294" spans="4:6" x14ac:dyDescent="0.25">
      <c r="D1294" s="1"/>
      <c r="E1294" s="1"/>
      <c r="F1294" s="1"/>
    </row>
    <row r="1295" spans="4:6" x14ac:dyDescent="0.25">
      <c r="D1295" s="1"/>
      <c r="E1295" s="1"/>
      <c r="F1295" s="1"/>
    </row>
    <row r="1296" spans="4:6" x14ac:dyDescent="0.25">
      <c r="D1296" s="1"/>
      <c r="E1296" s="1"/>
      <c r="F1296" s="1"/>
    </row>
    <row r="1297" spans="4:6" x14ac:dyDescent="0.25">
      <c r="D1297" s="1"/>
      <c r="E1297" s="1"/>
      <c r="F1297" s="1"/>
    </row>
    <row r="1298" spans="4:6" x14ac:dyDescent="0.25">
      <c r="D1298" s="1"/>
      <c r="E1298" s="1"/>
      <c r="F1298" s="1"/>
    </row>
    <row r="1299" spans="4:6" x14ac:dyDescent="0.25">
      <c r="D1299" s="1"/>
      <c r="E1299" s="1"/>
      <c r="F1299" s="1"/>
    </row>
    <row r="1300" spans="4:6" x14ac:dyDescent="0.25">
      <c r="D1300" s="1"/>
      <c r="E1300" s="1"/>
      <c r="F1300" s="1"/>
    </row>
    <row r="1301" spans="4:6" x14ac:dyDescent="0.25">
      <c r="D1301" s="1"/>
      <c r="E1301" s="1"/>
      <c r="F1301" s="1"/>
    </row>
    <row r="1302" spans="4:6" x14ac:dyDescent="0.25">
      <c r="D1302" s="1"/>
      <c r="E1302" s="1"/>
      <c r="F1302" s="1"/>
    </row>
    <row r="1303" spans="4:6" x14ac:dyDescent="0.25">
      <c r="D1303" s="1"/>
      <c r="E1303" s="1"/>
      <c r="F1303" s="1"/>
    </row>
    <row r="1304" spans="4:6" x14ac:dyDescent="0.25">
      <c r="D1304" s="1"/>
      <c r="E1304" s="1"/>
      <c r="F1304" s="1"/>
    </row>
    <row r="1305" spans="4:6" x14ac:dyDescent="0.25">
      <c r="D1305" s="1"/>
      <c r="E1305" s="1"/>
      <c r="F1305" s="1"/>
    </row>
    <row r="1306" spans="4:6" x14ac:dyDescent="0.25">
      <c r="D1306" s="1"/>
      <c r="E1306" s="1"/>
      <c r="F1306" s="1"/>
    </row>
    <row r="1307" spans="4:6" x14ac:dyDescent="0.25">
      <c r="D1307" s="1"/>
      <c r="E1307" s="1"/>
      <c r="F1307" s="1"/>
    </row>
    <row r="1308" spans="4:6" x14ac:dyDescent="0.25">
      <c r="D1308" s="1"/>
      <c r="E1308" s="1"/>
      <c r="F1308" s="1"/>
    </row>
    <row r="1309" spans="4:6" x14ac:dyDescent="0.25">
      <c r="D1309" s="1"/>
      <c r="E1309" s="1"/>
      <c r="F1309" s="1"/>
    </row>
    <row r="1310" spans="4:6" x14ac:dyDescent="0.25">
      <c r="D1310" s="1"/>
      <c r="E1310" s="1"/>
      <c r="F1310" s="1"/>
    </row>
  </sheetData>
  <sheetProtection sheet="1" objects="1" scenarios="1"/>
  <mergeCells count="1">
    <mergeCell ref="E8:F8"/>
  </mergeCells>
  <hyperlinks>
    <hyperlink ref="I9" r:id="rId1" xr:uid="{2EFCD9CF-7739-4D7E-89A1-050B4B16A372}"/>
  </hyperlinks>
  <pageMargins left="0.7" right="0.7" top="0.75" bottom="0.75" header="0.3" footer="0.3"/>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52D59-F047-4109-8180-37AC87CC58BD}">
  <dimension ref="A1:C35"/>
  <sheetViews>
    <sheetView showGridLines="0" topLeftCell="A19" workbookViewId="0">
      <selection activeCell="E5" sqref="E5"/>
    </sheetView>
  </sheetViews>
  <sheetFormatPr defaultRowHeight="14.3" x14ac:dyDescent="0.25"/>
  <cols>
    <col min="1" max="1" width="71.875" customWidth="1"/>
  </cols>
  <sheetData>
    <row r="1" spans="1:1" x14ac:dyDescent="0.25">
      <c r="A1" s="7" t="s">
        <v>36</v>
      </c>
    </row>
    <row r="2" spans="1:1" ht="57.1" x14ac:dyDescent="0.25">
      <c r="A2" s="6" t="s">
        <v>30</v>
      </c>
    </row>
    <row r="3" spans="1:1" x14ac:dyDescent="0.25">
      <c r="A3" s="6"/>
    </row>
    <row r="4" spans="1:1" ht="42.8" x14ac:dyDescent="0.25">
      <c r="A4" s="6" t="s">
        <v>31</v>
      </c>
    </row>
    <row r="5" spans="1:1" x14ac:dyDescent="0.25">
      <c r="A5" s="6"/>
    </row>
    <row r="6" spans="1:1" ht="42.8" x14ac:dyDescent="0.25">
      <c r="A6" s="6" t="s">
        <v>32</v>
      </c>
    </row>
    <row r="7" spans="1:1" x14ac:dyDescent="0.25">
      <c r="A7" s="6"/>
    </row>
    <row r="8" spans="1:1" ht="42.8" x14ac:dyDescent="0.25">
      <c r="A8" s="6" t="s">
        <v>9</v>
      </c>
    </row>
    <row r="9" spans="1:1" x14ac:dyDescent="0.25">
      <c r="A9" s="6"/>
    </row>
    <row r="10" spans="1:1" x14ac:dyDescent="0.25">
      <c r="A10" s="6" t="s">
        <v>10</v>
      </c>
    </row>
    <row r="11" spans="1:1" x14ac:dyDescent="0.25">
      <c r="A11" s="6" t="s">
        <v>11</v>
      </c>
    </row>
    <row r="12" spans="1:1" x14ac:dyDescent="0.25">
      <c r="A12" s="6"/>
    </row>
    <row r="13" spans="1:1" ht="28.55" x14ac:dyDescent="0.25">
      <c r="A13" s="6" t="s">
        <v>12</v>
      </c>
    </row>
    <row r="14" spans="1:1" ht="28.55" x14ac:dyDescent="0.25">
      <c r="A14" s="6" t="s">
        <v>33</v>
      </c>
    </row>
    <row r="21" spans="1:3" x14ac:dyDescent="0.25">
      <c r="A21">
        <f>PI()*((calc!D10*100+0.5*calc!D4*PI())^2)</f>
        <v>3222847.5063389298</v>
      </c>
      <c r="C21">
        <f>PI()*((calc!D10*100+(calc!D6/2))^2)</f>
        <v>3222847.5063389298</v>
      </c>
    </row>
    <row r="22" spans="1:3" x14ac:dyDescent="0.25">
      <c r="C22">
        <f>C21/(calc!D6*calc!D5)</f>
        <v>854.88685244204862</v>
      </c>
    </row>
    <row r="25" spans="1:3" x14ac:dyDescent="0.25">
      <c r="A25" t="s">
        <v>7</v>
      </c>
    </row>
    <row r="26" spans="1:3" x14ac:dyDescent="0.25">
      <c r="A26" t="str">
        <f>"L = "&amp;calc!D3&amp;" meter = 1000 cm, D = "&amp;calc!D4&amp;" cm, W = "&amp;TEXT(calc!D6,"0,0")&amp;" cm, and S = "&amp;calc!D5&amp;" cm/second"</f>
        <v>L = 10 meter = 1000 cm, D = 12 cm, W = 37,7 cm, and S = 100 cm/second</v>
      </c>
    </row>
    <row r="27" spans="1:3" x14ac:dyDescent="0.25">
      <c r="A27" t="s">
        <v>8</v>
      </c>
    </row>
    <row r="28" spans="1:3" x14ac:dyDescent="0.25">
      <c r="A28" t="str">
        <f>"T = "&amp;calc!D3*100&amp;"+ ("&amp;calc!D4&amp;"/2)r, W = "&amp;TEXT(calc!D6,"0,0")&amp;" centimeter, and S = "&amp;calc!D5&amp;" centimeter/second"</f>
        <v>T = 1000+ (12/2)r, W = 37,7 centimeter, and S = 100 centimeter/second</v>
      </c>
    </row>
    <row r="29" spans="1:3" x14ac:dyDescent="0.25">
      <c r="A29" t="s">
        <v>4</v>
      </c>
    </row>
    <row r="30" spans="1:3" x14ac:dyDescent="0.25">
      <c r="A30">
        <f>(PI()*(1000+(12/2))^2)</f>
        <v>3179404.8627684</v>
      </c>
    </row>
    <row r="32" spans="1:3" x14ac:dyDescent="0.25">
      <c r="A32" s="2">
        <f>PI()* ((L*100-(D/2) +(W/2))^2) / (W*S)</f>
        <v>854.88685244204862</v>
      </c>
    </row>
    <row r="33" spans="1:2" x14ac:dyDescent="0.25">
      <c r="A33" s="2" t="s">
        <v>6</v>
      </c>
    </row>
    <row r="34" spans="1:2" x14ac:dyDescent="0.25">
      <c r="A34">
        <f>3.14159*((1000-(12/2)+(37.7/2))^2)/(37.7*100)</f>
        <v>854.86674010471484</v>
      </c>
      <c r="B34">
        <f>A34/60</f>
        <v>14.247779001745247</v>
      </c>
    </row>
    <row r="35" spans="1:2" x14ac:dyDescent="0.25">
      <c r="A35" s="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2</vt:i4>
      </vt:variant>
      <vt:variant>
        <vt:lpstr>Benoemde bereiken</vt:lpstr>
      </vt:variant>
      <vt:variant>
        <vt:i4>4</vt:i4>
      </vt:variant>
    </vt:vector>
  </HeadingPairs>
  <TitlesOfParts>
    <vt:vector size="6" baseType="lpstr">
      <vt:lpstr>calc</vt:lpstr>
      <vt:lpstr>Text</vt:lpstr>
      <vt:lpstr>D</vt:lpstr>
      <vt:lpstr>L</vt:lpstr>
      <vt:lpstr>S</vt:lpstr>
      <vt:lpstr>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 Berkemeijer</dc:creator>
  <cp:lastModifiedBy>Jos Berkemeijer</cp:lastModifiedBy>
  <dcterms:created xsi:type="dcterms:W3CDTF">2023-11-26T14:46:34Z</dcterms:created>
  <dcterms:modified xsi:type="dcterms:W3CDTF">2023-11-26T21:40:43Z</dcterms:modified>
</cp:coreProperties>
</file>